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dmin\Desktop\Ram Bahadur Khatri (ADBL-Jorpati)\"/>
    </mc:Choice>
  </mc:AlternateContent>
  <bookViews>
    <workbookView xWindow="-120" yWindow="-120" windowWidth="20730" windowHeight="11160" tabRatio="767" activeTab="3"/>
  </bookViews>
  <sheets>
    <sheet name="DE (Tentative)" sheetId="15" r:id="rId1"/>
    <sheet name="DE (Final)" sheetId="26" r:id="rId2"/>
    <sheet name="Cover" sheetId="27" r:id="rId3"/>
    <sheet name="Letterhead" sheetId="28" r:id="rId4"/>
    <sheet name="TOC" sheetId="13" r:id="rId5"/>
    <sheet name="Synopsis" sheetId="10" r:id="rId6"/>
    <sheet name="Location" sheetId="9" r:id="rId7"/>
    <sheet name="Importance" sheetId="12" r:id="rId8"/>
    <sheet name="Description " sheetId="8" r:id="rId9"/>
    <sheet name="Legal Aspects" sheetId="7" r:id="rId10"/>
    <sheet name="Sum d" sheetId="24" r:id="rId11"/>
    <sheet name="summary" sheetId="17" r:id="rId12"/>
    <sheet name="val" sheetId="1" r:id="rId13"/>
    <sheet name="Limiting Condition" sheetId="6" r:id="rId14"/>
    <sheet name="Sheet4" sheetId="4" state="hidden" r:id="rId15"/>
    <sheet name="Sheet3" sheetId="3" state="hidden" r:id="rId16"/>
    <sheet name="Area" sheetId="25" r:id="rId17"/>
  </sheets>
  <functionGroups builtInGroupCount="18"/>
  <definedNames>
    <definedName name="_Toc272312950" localSheetId="5">Synopsis!$B$47</definedName>
    <definedName name="_Toc281130000" localSheetId="12">val!#REF!</definedName>
    <definedName name="_Toc332296746" localSheetId="13">'Limiting Condition'!$B$1</definedName>
    <definedName name="_Toc332296753" localSheetId="9">'Legal Aspects'!#REF!</definedName>
    <definedName name="_Toc335642854" localSheetId="7">Importance!$B$1</definedName>
    <definedName name="_Toc335642855" localSheetId="7">Importance!#REF!</definedName>
    <definedName name="_Toc335642860" localSheetId="13">'Limiting Condition'!$B$6</definedName>
    <definedName name="_Toc335642867" localSheetId="14">Sheet4!$A$1</definedName>
    <definedName name="_Toc335642868" localSheetId="14">Sheet4!$B$9</definedName>
    <definedName name="_Toc335642869" localSheetId="14">Sheet4!$B$11</definedName>
    <definedName name="_Toc341107988" localSheetId="5">Synopsis!#REF!</definedName>
    <definedName name="_Toc341107989" localSheetId="5">Synopsis!$B$2</definedName>
    <definedName name="_Toc341107990" localSheetId="5">Synopsis!$B$3</definedName>
    <definedName name="_Toc341107993" localSheetId="6">Location!$B$1</definedName>
    <definedName name="_Toc341107994" localSheetId="6">Location!$B$15</definedName>
    <definedName name="_Toc341107995" localSheetId="6">Location!$B$23</definedName>
    <definedName name="_Toc341107996" localSheetId="8">'Description '!#REF!</definedName>
    <definedName name="_xlpm.adjFloors" hidden="1" xlm="1">#NAME?</definedName>
    <definedName name="_xlpm.belowArea" hidden="1" xlm="1">#NAME?</definedName>
    <definedName name="_xlpm.countFloors" hidden="1" xlm="1">#NAME?</definedName>
    <definedName name="_xlpm.lastRow" hidden="1" xlm="1">#NAME?</definedName>
    <definedName name="_xlpm.rng" hidden="1" xlm="1">#NAME?</definedName>
    <definedName name="_xlpm.topArea" hidden="1" xlm="1">#NAME?</definedName>
    <definedName name="_xlnm.Print_Area" localSheetId="2">Cover!$A$1:$K$46</definedName>
    <definedName name="_xlnm.Print_Area" localSheetId="3">Letterhead!$A$1:$K$47</definedName>
    <definedName name="_xlnm.Print_Area" localSheetId="10">'Sum d'!$A$1:$N$37</definedName>
    <definedName name="_xlnm.Print_Area" localSheetId="11">summary!$A$1:$O$35</definedName>
    <definedName name="_xlnm.Print_Area" localSheetId="12">val!$A$1:$H$26</definedName>
  </definedNames>
  <calcPr calcId="152511"/>
</workbook>
</file>

<file path=xl/calcChain.xml><?xml version="1.0" encoding="utf-8"?>
<calcChain xmlns="http://schemas.openxmlformats.org/spreadsheetml/2006/main">
  <c r="N42" i="28" l="1"/>
  <c r="N41" i="28"/>
  <c r="N40" i="28"/>
  <c r="N39" i="28"/>
  <c r="N38" i="28"/>
  <c r="A15" i="27" l="1"/>
  <c r="I3" i="17" l="1"/>
  <c r="A3" i="17"/>
  <c r="F33" i="24"/>
  <c r="E14" i="7"/>
  <c r="F12" i="9"/>
  <c r="F8" i="9"/>
  <c r="F7" i="9"/>
  <c r="F6" i="9"/>
  <c r="E72" i="10"/>
  <c r="C72" i="10"/>
  <c r="E71" i="10"/>
  <c r="C71" i="10"/>
  <c r="E70" i="10"/>
  <c r="C70" i="10"/>
  <c r="E69" i="10"/>
  <c r="C69" i="10"/>
  <c r="E68" i="10"/>
  <c r="C68" i="10"/>
  <c r="E67" i="10"/>
  <c r="C67" i="10"/>
  <c r="E66" i="10"/>
  <c r="C66" i="10"/>
  <c r="E65" i="10"/>
  <c r="C65" i="10"/>
  <c r="E64" i="10"/>
  <c r="C64" i="10"/>
  <c r="C63" i="10"/>
  <c r="E62" i="10"/>
  <c r="C62" i="10"/>
  <c r="C31" i="28"/>
  <c r="A3" i="1" l="1"/>
  <c r="G49" i="6"/>
  <c r="E55" i="6"/>
  <c r="E56" i="6"/>
  <c r="D24" i="25"/>
  <c r="D14" i="25"/>
  <c r="B85" i="26" l="1"/>
  <c r="B83" i="26"/>
  <c r="D734" i="15"/>
  <c r="D735" i="15" s="1"/>
  <c r="C732" i="15"/>
  <c r="D723" i="15"/>
  <c r="C717" i="15"/>
  <c r="D692" i="15"/>
  <c r="D693" i="15" s="1"/>
  <c r="C690" i="15"/>
  <c r="D681" i="15"/>
  <c r="C675" i="15"/>
  <c r="D650" i="15"/>
  <c r="D651" i="15" s="1"/>
  <c r="C648" i="15"/>
  <c r="D639" i="15"/>
  <c r="C633" i="15"/>
  <c r="D608" i="15"/>
  <c r="D609" i="15" s="1"/>
  <c r="C606" i="15"/>
  <c r="D597" i="15"/>
  <c r="C251" i="15"/>
  <c r="C270" i="15"/>
  <c r="C289" i="15"/>
  <c r="C308" i="15"/>
  <c r="C327" i="15"/>
  <c r="C346" i="15"/>
  <c r="C365" i="15"/>
  <c r="C384" i="15"/>
  <c r="C403" i="15"/>
  <c r="C422" i="15"/>
  <c r="C441" i="15"/>
  <c r="C460" i="15"/>
  <c r="C479" i="15"/>
  <c r="C498" i="15"/>
  <c r="C517" i="15"/>
  <c r="C536" i="15"/>
  <c r="C555" i="15"/>
  <c r="C574" i="15"/>
  <c r="C232" i="15"/>
  <c r="C590" i="15"/>
  <c r="C588" i="15"/>
  <c r="D583" i="15"/>
  <c r="C585" i="15" s="1"/>
  <c r="C586" i="15" s="1"/>
  <c r="C571" i="15"/>
  <c r="C569" i="15"/>
  <c r="D564" i="15"/>
  <c r="C566" i="15" s="1"/>
  <c r="C567" i="15" s="1"/>
  <c r="C552" i="15"/>
  <c r="C550" i="15"/>
  <c r="D545" i="15"/>
  <c r="C547" i="15" s="1"/>
  <c r="C548" i="15" s="1"/>
  <c r="C533" i="15"/>
  <c r="C531" i="15"/>
  <c r="D526" i="15"/>
  <c r="C528" i="15" s="1"/>
  <c r="C529" i="15" s="1"/>
  <c r="C514" i="15"/>
  <c r="C512" i="15"/>
  <c r="D507" i="15"/>
  <c r="C509" i="15" s="1"/>
  <c r="C510" i="15" s="1"/>
  <c r="C495" i="15"/>
  <c r="C493" i="15"/>
  <c r="D488" i="15"/>
  <c r="C490" i="15" s="1"/>
  <c r="C491" i="15" s="1"/>
  <c r="C476" i="15"/>
  <c r="C474" i="15"/>
  <c r="D469" i="15"/>
  <c r="C471" i="15" s="1"/>
  <c r="C472" i="15" s="1"/>
  <c r="C457" i="15"/>
  <c r="C455" i="15"/>
  <c r="D450" i="15"/>
  <c r="C452" i="15" s="1"/>
  <c r="C453" i="15" s="1"/>
  <c r="C438" i="15"/>
  <c r="C436" i="15"/>
  <c r="D431" i="15"/>
  <c r="C433" i="15" s="1"/>
  <c r="C434" i="15" s="1"/>
  <c r="C419" i="15"/>
  <c r="C417" i="15"/>
  <c r="D412" i="15"/>
  <c r="C414" i="15" s="1"/>
  <c r="C415" i="15" s="1"/>
  <c r="C400" i="15"/>
  <c r="C398" i="15"/>
  <c r="D393" i="15"/>
  <c r="C395" i="15" s="1"/>
  <c r="C396" i="15" s="1"/>
  <c r="C381" i="15"/>
  <c r="C379" i="15"/>
  <c r="D374" i="15"/>
  <c r="C376" i="15" s="1"/>
  <c r="C377" i="15" s="1"/>
  <c r="C362" i="15"/>
  <c r="C360" i="15"/>
  <c r="D355" i="15"/>
  <c r="C357" i="15" s="1"/>
  <c r="C358" i="15" s="1"/>
  <c r="C343" i="15"/>
  <c r="C341" i="15"/>
  <c r="D336" i="15"/>
  <c r="C338" i="15" s="1"/>
  <c r="C339" i="15" s="1"/>
  <c r="C324" i="15"/>
  <c r="C322" i="15"/>
  <c r="D317" i="15"/>
  <c r="C319" i="15" s="1"/>
  <c r="C320" i="15" s="1"/>
  <c r="C305" i="15"/>
  <c r="C303" i="15"/>
  <c r="D298" i="15"/>
  <c r="C300" i="15" s="1"/>
  <c r="C301" i="15" s="1"/>
  <c r="C286" i="15"/>
  <c r="C284" i="15"/>
  <c r="D279" i="15"/>
  <c r="C281" i="15" s="1"/>
  <c r="C282" i="15" s="1"/>
  <c r="C267" i="15"/>
  <c r="C265" i="15"/>
  <c r="D260" i="15"/>
  <c r="C262" i="15" s="1"/>
  <c r="C263" i="15" s="1"/>
  <c r="C248" i="15"/>
  <c r="C246" i="15"/>
  <c r="D241" i="15"/>
  <c r="C243" i="15" s="1"/>
  <c r="C244" i="15" s="1"/>
  <c r="C213" i="15"/>
  <c r="F37" i="26"/>
  <c r="F27" i="26"/>
  <c r="F40" i="26"/>
  <c r="F50" i="26"/>
  <c r="C50" i="26"/>
  <c r="C40" i="26"/>
  <c r="B40" i="26"/>
  <c r="E27" i="26"/>
  <c r="E40" i="26"/>
  <c r="E53" i="26"/>
  <c r="F63" i="26"/>
  <c r="C63" i="26"/>
  <c r="B53" i="26"/>
  <c r="C53" i="26"/>
  <c r="F53" i="26"/>
  <c r="F66" i="26"/>
  <c r="C66" i="26"/>
  <c r="F76" i="26"/>
  <c r="C76" i="26"/>
  <c r="E66" i="26"/>
  <c r="B66" i="26"/>
  <c r="C208" i="15"/>
  <c r="C199" i="15"/>
  <c r="C190" i="15"/>
  <c r="C181" i="15"/>
  <c r="C172" i="15"/>
  <c r="C163" i="15"/>
  <c r="C154" i="15"/>
  <c r="C145" i="15"/>
  <c r="C136" i="15"/>
  <c r="C127" i="15"/>
  <c r="C118" i="15"/>
  <c r="C109" i="15"/>
  <c r="C100" i="15"/>
  <c r="C91" i="15"/>
  <c r="C82" i="15"/>
  <c r="C73" i="15"/>
  <c r="C64" i="15"/>
  <c r="C55" i="15"/>
  <c r="C46" i="15"/>
  <c r="C37" i="15"/>
  <c r="E75" i="26"/>
  <c r="B75" i="26"/>
  <c r="E74" i="26"/>
  <c r="B74" i="26"/>
  <c r="E72" i="26"/>
  <c r="B72" i="26"/>
  <c r="E71" i="26"/>
  <c r="B71" i="26"/>
  <c r="F67" i="26"/>
  <c r="C67" i="26"/>
  <c r="E62" i="26"/>
  <c r="B62" i="26"/>
  <c r="E61" i="26"/>
  <c r="B61" i="26"/>
  <c r="E59" i="26"/>
  <c r="B59" i="26"/>
  <c r="E58" i="26"/>
  <c r="B58" i="26"/>
  <c r="F54" i="26"/>
  <c r="C54" i="26"/>
  <c r="E49" i="26"/>
  <c r="B49" i="26"/>
  <c r="E48" i="26"/>
  <c r="B48" i="26"/>
  <c r="E46" i="26"/>
  <c r="B46" i="26"/>
  <c r="E45" i="26"/>
  <c r="B45" i="26"/>
  <c r="F41" i="26"/>
  <c r="C41" i="26"/>
  <c r="E36" i="26"/>
  <c r="E35" i="26"/>
  <c r="E33" i="26"/>
  <c r="E32" i="26"/>
  <c r="F28" i="26"/>
  <c r="E23" i="26"/>
  <c r="C58" i="10" s="1"/>
  <c r="E22" i="26"/>
  <c r="C57" i="10" s="1"/>
  <c r="E20" i="26"/>
  <c r="C55" i="10" s="1"/>
  <c r="E19" i="26"/>
  <c r="C54" i="10" s="1"/>
  <c r="B23" i="26"/>
  <c r="C14" i="10" s="1"/>
  <c r="B22" i="26"/>
  <c r="C13" i="10" s="1"/>
  <c r="B20" i="26"/>
  <c r="C11" i="10" s="1"/>
  <c r="B19" i="26"/>
  <c r="C10" i="10" s="1"/>
  <c r="A27" i="27"/>
  <c r="A9" i="27"/>
  <c r="A21" i="27"/>
  <c r="A20" i="27"/>
  <c r="F85" i="26"/>
  <c r="F83" i="26"/>
  <c r="F81" i="26"/>
  <c r="C85" i="26"/>
  <c r="A16" i="27" s="1"/>
  <c r="C83" i="26"/>
  <c r="C81" i="26"/>
  <c r="A8" i="27"/>
  <c r="B34" i="28"/>
  <c r="C21" i="24"/>
  <c r="C22" i="28"/>
  <c r="E19" i="28"/>
  <c r="F15" i="26"/>
  <c r="C15" i="26"/>
  <c r="B12" i="28"/>
  <c r="C56" i="10"/>
  <c r="C59" i="10"/>
  <c r="E52" i="10"/>
  <c r="E53" i="10"/>
  <c r="E54" i="10"/>
  <c r="E55" i="10"/>
  <c r="E56" i="10"/>
  <c r="E57" i="10"/>
  <c r="E58" i="10"/>
  <c r="E51" i="10"/>
  <c r="C52" i="10"/>
  <c r="C53" i="10"/>
  <c r="C51" i="10"/>
  <c r="C50" i="10"/>
  <c r="E27" i="10"/>
  <c r="E14" i="10"/>
  <c r="E13" i="10"/>
  <c r="E12" i="10"/>
  <c r="E8" i="10"/>
  <c r="E9" i="10"/>
  <c r="E10" i="10"/>
  <c r="E11" i="10"/>
  <c r="E7" i="10"/>
  <c r="C12" i="10"/>
  <c r="C15" i="10"/>
  <c r="C8" i="10"/>
  <c r="C9" i="10"/>
  <c r="C7" i="10"/>
  <c r="C6" i="10"/>
  <c r="B2" i="10"/>
  <c r="B2" i="7"/>
  <c r="A1" i="8"/>
  <c r="B1" i="12"/>
  <c r="B23" i="9"/>
  <c r="B1" i="9"/>
  <c r="C4" i="26"/>
  <c r="A24" i="9" s="1"/>
  <c r="B19" i="9"/>
  <c r="B18" i="9"/>
  <c r="B17" i="9"/>
  <c r="F11" i="9"/>
  <c r="F10" i="9"/>
  <c r="F9" i="9"/>
  <c r="J16" i="17"/>
  <c r="E13" i="8"/>
  <c r="E12" i="8"/>
  <c r="E11" i="8"/>
  <c r="E19" i="8"/>
  <c r="E18" i="8"/>
  <c r="E17" i="8"/>
  <c r="E16" i="8"/>
  <c r="E15" i="8"/>
  <c r="E5" i="8"/>
  <c r="E7" i="8"/>
  <c r="E10" i="8"/>
  <c r="E48" i="7"/>
  <c r="E42" i="7"/>
  <c r="E43" i="7"/>
  <c r="E30" i="7"/>
  <c r="E18" i="7"/>
  <c r="E25" i="7"/>
  <c r="E23" i="7"/>
  <c r="E13" i="7"/>
  <c r="E12" i="7"/>
  <c r="E4" i="8" s="1"/>
  <c r="B3" i="7"/>
  <c r="F35" i="24"/>
  <c r="F32" i="24"/>
  <c r="F31" i="24"/>
  <c r="F30" i="24"/>
  <c r="F26" i="24"/>
  <c r="F24" i="24"/>
  <c r="E20" i="24"/>
  <c r="C20" i="24"/>
  <c r="G19" i="24"/>
  <c r="E19" i="24"/>
  <c r="C19" i="24"/>
  <c r="M18" i="24"/>
  <c r="G18" i="24"/>
  <c r="E18" i="24"/>
  <c r="C18" i="24"/>
  <c r="C17" i="24"/>
  <c r="E16" i="24"/>
  <c r="C16" i="24"/>
  <c r="E14" i="24"/>
  <c r="C14" i="24"/>
  <c r="E13" i="24"/>
  <c r="C13" i="24"/>
  <c r="E12" i="24"/>
  <c r="C12" i="24"/>
  <c r="E11" i="24"/>
  <c r="C11" i="24"/>
  <c r="E10" i="24"/>
  <c r="C10" i="24"/>
  <c r="E9" i="24"/>
  <c r="C9" i="24"/>
  <c r="E8" i="24"/>
  <c r="C8" i="24"/>
  <c r="E7" i="24"/>
  <c r="C7" i="24"/>
  <c r="E6" i="24"/>
  <c r="C6" i="24"/>
  <c r="E5" i="24"/>
  <c r="C5" i="24"/>
  <c r="E4" i="24"/>
  <c r="C4" i="24"/>
  <c r="E17" i="24"/>
  <c r="E15" i="24"/>
  <c r="C15" i="24"/>
  <c r="E3" i="24"/>
  <c r="C3" i="24"/>
  <c r="E2" i="24"/>
  <c r="C2" i="24"/>
  <c r="A35" i="17"/>
  <c r="B28" i="24"/>
  <c r="B1" i="24"/>
  <c r="B8" i="24"/>
  <c r="B17" i="24"/>
  <c r="B16" i="24"/>
  <c r="B15" i="24"/>
  <c r="B14" i="24"/>
  <c r="B13" i="24"/>
  <c r="B12" i="24"/>
  <c r="B11" i="24"/>
  <c r="B10" i="24"/>
  <c r="B9" i="24"/>
  <c r="B7" i="24"/>
  <c r="B6" i="24"/>
  <c r="B5" i="24"/>
  <c r="B4" i="24"/>
  <c r="B3" i="24"/>
  <c r="B2" i="24"/>
  <c r="A34" i="17"/>
  <c r="A33" i="17"/>
  <c r="A32" i="17"/>
  <c r="A31" i="17"/>
  <c r="N25" i="17"/>
  <c r="J26" i="17"/>
  <c r="D25" i="17"/>
  <c r="D26" i="17"/>
  <c r="J25" i="17"/>
  <c r="A25" i="17"/>
  <c r="A26" i="17"/>
  <c r="N28" i="17"/>
  <c r="I17" i="17"/>
  <c r="G17" i="17"/>
  <c r="D17" i="17"/>
  <c r="C17" i="17"/>
  <c r="I51" i="25"/>
  <c r="I53" i="25" s="1"/>
  <c r="H51" i="25"/>
  <c r="H10" i="17" s="1"/>
  <c r="I17" i="9" s="1"/>
  <c r="G51" i="25"/>
  <c r="G10" i="17" s="1"/>
  <c r="H17" i="9" s="1"/>
  <c r="F51" i="25"/>
  <c r="F10" i="17" s="1"/>
  <c r="G17" i="9" s="1"/>
  <c r="E51" i="25"/>
  <c r="D10" i="17" s="1"/>
  <c r="F17" i="9" s="1"/>
  <c r="A1" i="17"/>
  <c r="M2" i="17"/>
  <c r="A5" i="17"/>
  <c r="A4" i="17"/>
  <c r="E14" i="26"/>
  <c r="B49" i="6" s="1"/>
  <c r="B14" i="26"/>
  <c r="B80" i="6"/>
  <c r="B79" i="6"/>
  <c r="B1" i="6"/>
  <c r="B39" i="6"/>
  <c r="A1" i="1"/>
  <c r="D4" i="1"/>
  <c r="I4" i="17" s="1"/>
  <c r="H2" i="1"/>
  <c r="O2" i="17" s="1"/>
  <c r="B16" i="1"/>
  <c r="B15" i="1"/>
  <c r="F16" i="1"/>
  <c r="F15" i="1"/>
  <c r="B13" i="1"/>
  <c r="H12" i="1"/>
  <c r="F11" i="1"/>
  <c r="F10" i="1"/>
  <c r="E10" i="1"/>
  <c r="C256" i="15"/>
  <c r="C465" i="15"/>
  <c r="C484" i="15"/>
  <c r="C237" i="15"/>
  <c r="F5" i="26" a="1"/>
  <c r="C313" i="15"/>
  <c r="C275" i="15"/>
  <c r="C332" i="15"/>
  <c r="C446" i="15"/>
  <c r="C408" i="15"/>
  <c r="C579" i="15"/>
  <c r="C351" i="15"/>
  <c r="C541" i="15"/>
  <c r="C503" i="15"/>
  <c r="C218" i="15"/>
  <c r="C294" i="15"/>
  <c r="C427" i="15"/>
  <c r="C522" i="15"/>
  <c r="C389" i="15"/>
  <c r="A46" i="27" a="1"/>
  <c r="C370" i="15"/>
  <c r="C560" i="15"/>
  <c r="I8" i="28" a="1"/>
  <c r="D5" i="1" l="1"/>
  <c r="C10" i="1" s="1"/>
  <c r="A17" i="17"/>
  <c r="I5" i="17"/>
  <c r="E9" i="8"/>
  <c r="C26" i="9"/>
  <c r="G14" i="27"/>
  <c r="E31" i="28"/>
  <c r="F3" i="9"/>
  <c r="C87" i="26"/>
  <c r="D3" i="1"/>
  <c r="G48" i="6"/>
  <c r="K52" i="25"/>
  <c r="I8" i="28"/>
  <c r="F5" i="26"/>
  <c r="A18" i="27"/>
  <c r="A46" i="27"/>
  <c r="B18" i="28"/>
  <c r="C49" i="10"/>
  <c r="C5" i="10"/>
  <c r="E7" i="28"/>
  <c r="H10" i="1"/>
  <c r="F17" i="1"/>
  <c r="D7" i="1"/>
  <c r="I7" i="17" s="1"/>
  <c r="D2" i="1"/>
  <c r="I2" i="17" s="1"/>
  <c r="A6" i="1"/>
  <c r="A6" i="17" s="1"/>
  <c r="A7" i="1"/>
  <c r="A7" i="17" s="1"/>
  <c r="A2" i="1"/>
  <c r="A2" i="17" s="1"/>
  <c r="C1" i="25"/>
  <c r="G24" i="25"/>
  <c r="H24" i="25" s="1"/>
  <c r="G23" i="25"/>
  <c r="H23" i="25" s="1"/>
  <c r="D12" i="25"/>
  <c r="D51" i="25" s="1"/>
  <c r="A7" i="27"/>
  <c r="A6" i="27"/>
  <c r="C229" i="15"/>
  <c r="C227" i="15"/>
  <c r="D757" i="15" s="1"/>
  <c r="D222" i="15"/>
  <c r="F24" i="26"/>
  <c r="C24" i="26"/>
  <c r="F14" i="26"/>
  <c r="A19" i="27" s="1"/>
  <c r="C14" i="26"/>
  <c r="B47" i="10"/>
  <c r="B27" i="10"/>
  <c r="B3" i="10"/>
  <c r="H25" i="25" l="1"/>
  <c r="E59" i="10"/>
  <c r="A22" i="27"/>
  <c r="E15" i="10"/>
  <c r="A10" i="27"/>
  <c r="E5" i="10"/>
  <c r="E18" i="28"/>
  <c r="D31" i="28"/>
  <c r="E49" i="10"/>
  <c r="E20" i="8"/>
  <c r="B2" i="12"/>
  <c r="B48" i="6"/>
  <c r="C51" i="25"/>
  <c r="D6" i="1"/>
  <c r="I6" i="17" s="1"/>
  <c r="C224" i="15"/>
  <c r="G13" i="1"/>
  <c r="D22" i="25"/>
  <c r="H26" i="25"/>
  <c r="F59" i="25" s="1"/>
  <c r="F60" i="25" s="1"/>
  <c r="D743" i="15" l="1"/>
  <c r="D744" i="15" s="1"/>
  <c r="C225" i="15"/>
  <c r="G12" i="1"/>
  <c r="H27" i="25"/>
  <c r="I12" i="17" s="1"/>
  <c r="I23" i="25"/>
  <c r="D754" i="15"/>
  <c r="H12" i="17" l="1"/>
  <c r="I19" i="9" s="1"/>
  <c r="G12" i="17"/>
  <c r="H19" i="9" s="1"/>
  <c r="F12" i="17"/>
  <c r="G19" i="9" s="1"/>
  <c r="D12" i="17"/>
  <c r="F19" i="9" s="1"/>
  <c r="D753" i="15"/>
  <c r="G10" i="1"/>
  <c r="G14" i="25"/>
  <c r="H14" i="25" s="1"/>
  <c r="G13" i="25"/>
  <c r="H13" i="25" s="1"/>
  <c r="I26" i="9"/>
  <c r="H26" i="9"/>
  <c r="G26" i="9"/>
  <c r="F26" i="9"/>
  <c r="E11" i="1"/>
  <c r="G11" i="1" s="1"/>
  <c r="C5" i="12"/>
  <c r="C6" i="12"/>
  <c r="H15" i="25" l="1"/>
  <c r="H16" i="25" s="1"/>
  <c r="F58" i="25" s="1"/>
  <c r="I55" i="25"/>
  <c r="F57" i="25"/>
  <c r="G21" i="1"/>
  <c r="H21" i="1" s="1"/>
  <c r="H31" i="28" s="1"/>
  <c r="F21" i="1"/>
  <c r="I10" i="17" l="1"/>
  <c r="F31" i="28" s="1"/>
  <c r="H17" i="25"/>
  <c r="I11" i="17" s="1"/>
  <c r="I13" i="25"/>
  <c r="F11" i="17" l="1"/>
  <c r="G18" i="9" s="1"/>
  <c r="E34" i="7"/>
  <c r="G31" i="28"/>
  <c r="H11" i="17"/>
  <c r="I18" i="9" s="1"/>
  <c r="G11" i="17"/>
  <c r="H18" i="9" s="1"/>
  <c r="D11" i="17"/>
  <c r="F18" i="9" s="1"/>
  <c r="I13" i="17"/>
  <c r="F33" i="28" s="1"/>
  <c r="H13" i="17" l="1"/>
  <c r="I21" i="9" s="1"/>
  <c r="G13" i="17"/>
  <c r="H21" i="9" s="1"/>
  <c r="F13" i="17"/>
  <c r="G21" i="9" s="1"/>
  <c r="D13" i="17"/>
  <c r="F21" i="9" s="1"/>
  <c r="F23" i="1" l="1"/>
  <c r="D21" i="17" l="1"/>
  <c r="G23" i="1"/>
  <c r="D758" i="15"/>
  <c r="H23" i="1"/>
  <c r="J36" i="28" s="1"/>
  <c r="K31" i="28"/>
  <c r="I21" i="17"/>
  <c r="I20" i="17"/>
  <c r="D759" i="15"/>
  <c r="B38" i="28" l="1"/>
  <c r="B37" i="28"/>
  <c r="A29" i="27"/>
  <c r="A24" i="1"/>
  <c r="C9" i="12"/>
  <c r="C8" i="12"/>
  <c r="C7" i="12"/>
  <c r="M19" i="17" l="1"/>
  <c r="O12" i="1" l="1"/>
  <c r="K12" i="1"/>
  <c r="J9" i="1"/>
  <c r="J6" i="1"/>
  <c r="D20" i="17" l="1"/>
  <c r="D22" i="17" l="1"/>
  <c r="I22" i="17"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<sst xmlns="http://schemas.openxmlformats.org/spreadsheetml/2006/main" count="1703" uniqueCount="542">
  <si>
    <t>Particulars</t>
  </si>
  <si>
    <t>Rate per Aana</t>
  </si>
  <si>
    <t>Amount</t>
  </si>
  <si>
    <t>Remarks</t>
  </si>
  <si>
    <t>Total Government value of land</t>
  </si>
  <si>
    <t>Total Market Value of Land</t>
  </si>
  <si>
    <t>Location</t>
  </si>
  <si>
    <t>:</t>
  </si>
  <si>
    <t>Plot No</t>
  </si>
  <si>
    <t>Date of Survey:</t>
  </si>
  <si>
    <t>Rate</t>
  </si>
  <si>
    <t>Sqft</t>
  </si>
  <si>
    <t>Synopsis of Property Valuation Report</t>
  </si>
  <si>
    <t>1. General Information</t>
  </si>
  <si>
    <t>Address</t>
  </si>
  <si>
    <t>Issued Office</t>
  </si>
  <si>
    <t>Ward No</t>
  </si>
  <si>
    <t>VDC/ Municipality</t>
  </si>
  <si>
    <t>District</t>
  </si>
  <si>
    <t>Contact No.</t>
  </si>
  <si>
    <t>Plot No.</t>
  </si>
  <si>
    <t>Type of Location</t>
  </si>
  <si>
    <t>Shape</t>
  </si>
  <si>
    <t>Nearest Market</t>
  </si>
  <si>
    <t xml:space="preserve">e. Total Area of Land </t>
  </si>
  <si>
    <t>Ropani</t>
  </si>
  <si>
    <t>Anna</t>
  </si>
  <si>
    <t>Paisa</t>
  </si>
  <si>
    <t>As per Lalpurja</t>
  </si>
  <si>
    <t>As per Measurement</t>
  </si>
  <si>
    <t>(Refer to Attached Sheet. "Land Area Calculation")</t>
  </si>
  <si>
    <t>Area Considered for Valuation</t>
  </si>
  <si>
    <t>East</t>
  </si>
  <si>
    <t xml:space="preserve">West </t>
  </si>
  <si>
    <t xml:space="preserve">North </t>
  </si>
  <si>
    <t>South</t>
  </si>
  <si>
    <t>A.</t>
  </si>
  <si>
    <t>Type of ownership</t>
  </si>
  <si>
    <t>Shape of the Land</t>
  </si>
  <si>
    <t>Plain</t>
  </si>
  <si>
    <t>Level of the Land</t>
  </si>
  <si>
    <t>General</t>
  </si>
  <si>
    <t>Topography of Land</t>
  </si>
  <si>
    <t>Nature of soil</t>
  </si>
  <si>
    <t>N/A</t>
  </si>
  <si>
    <t xml:space="preserve">Any Construction on the Land </t>
  </si>
  <si>
    <t>Sewer facility on the Land</t>
  </si>
  <si>
    <t>Yes</t>
  </si>
  <si>
    <t>Nature of the Area</t>
  </si>
  <si>
    <t>Whether the Land is located below the high tension electric line</t>
  </si>
  <si>
    <t>No</t>
  </si>
  <si>
    <t>Address of the Land</t>
  </si>
  <si>
    <t>Positive Feature of Land</t>
  </si>
  <si>
    <t>Any Negative Feature of The area</t>
  </si>
  <si>
    <t>Following legally related documents have been checked and noted which are provided by the bank &amp; client as under:</t>
  </si>
  <si>
    <t>Land Ownership Document (Lalpurja)</t>
  </si>
  <si>
    <t>a)</t>
  </si>
  <si>
    <t>Type of Ownership</t>
  </si>
  <si>
    <t>b)</t>
  </si>
  <si>
    <t>Ownership of Land</t>
  </si>
  <si>
    <t>Freehold</t>
  </si>
  <si>
    <t>c)</t>
  </si>
  <si>
    <t>Name of the Owner</t>
  </si>
  <si>
    <t>d)</t>
  </si>
  <si>
    <t>e)</t>
  </si>
  <si>
    <t>f)</t>
  </si>
  <si>
    <t>Comments, if any</t>
  </si>
  <si>
    <t>None</t>
  </si>
  <si>
    <t>Land Revenue (Malpot)</t>
  </si>
  <si>
    <t>Land Registration Paper</t>
  </si>
  <si>
    <t>Date of Registration</t>
  </si>
  <si>
    <t>Maps of the Plots prepared by Government Survey Department</t>
  </si>
  <si>
    <t>Whether the plots are indicated</t>
  </si>
  <si>
    <t>Whether access is clearly marked on the map prepared by Government Survey Department</t>
  </si>
  <si>
    <t>Whether the shape of the land in the field tally with the map</t>
  </si>
  <si>
    <t>Whether the area of land increased or decreased compared to the recorded in the existing land Ownership Document</t>
  </si>
  <si>
    <t>Whether free access to the property is Available</t>
  </si>
  <si>
    <t>Has whole or part of the land been notified or acquisition for any other purpose by the Government of any other statutory body</t>
  </si>
  <si>
    <t>Whether the boundary of the property is clearly defined at the site</t>
  </si>
  <si>
    <t>Location of Site</t>
  </si>
  <si>
    <t>Not Seen</t>
  </si>
  <si>
    <t>Followings are the some of the merits of the location</t>
  </si>
  <si>
    <t xml:space="preserve">a)      The opinion of Value Stated is based on the facts and assumptions identified in this report. The valuator takes no responsibility for changes in market conditions. </t>
  </si>
  <si>
    <t>b)      The opinion of value stated is based on the information that has been available to the valuator at the time; the valuation analysis has been conducted. The Value of the Property may change substantially with time and Valuator reserves the right to alter the Opinion of Value Stated if relevant information is available later.</t>
  </si>
  <si>
    <t xml:space="preserve">To the best of our knowledge , all matter of factual nature discussed in this Report are true and correct. No important factors have been intentionally overlooked or withheld. </t>
  </si>
  <si>
    <t>Side a</t>
  </si>
  <si>
    <t>Side b</t>
  </si>
  <si>
    <t>Side c</t>
  </si>
  <si>
    <t>S=(a+b+c)/2</t>
  </si>
  <si>
    <t>Total area in Sqft.</t>
  </si>
  <si>
    <t>Total =</t>
  </si>
  <si>
    <t>TOTAL =</t>
  </si>
  <si>
    <t>Total Land area as per Lalpurja:</t>
  </si>
  <si>
    <t>Land Information</t>
  </si>
  <si>
    <t>Land Area</t>
  </si>
  <si>
    <t>Dam</t>
  </si>
  <si>
    <t>Area as per Lalpurja</t>
  </si>
  <si>
    <t>Area considered for Valuation</t>
  </si>
  <si>
    <t>Plot no.</t>
  </si>
  <si>
    <t>A</t>
  </si>
  <si>
    <t>B</t>
  </si>
  <si>
    <t>Land</t>
  </si>
  <si>
    <t>A. LAND</t>
  </si>
  <si>
    <t>Triangle</t>
  </si>
  <si>
    <t>Is the Parameters of Boundary Available</t>
  </si>
  <si>
    <t>Date of Certification</t>
  </si>
  <si>
    <t>Date of Payement of Receipt</t>
  </si>
  <si>
    <t>Methodology of Valuation</t>
  </si>
  <si>
    <t xml:space="preserve">Value of Land has been taken by Direct Comparison with Capitalized Value of Similar Land in the locality. It has been taken on the basis of interview with Client and Local People during field survey. The main factors considered for Valuation are Prevailing Market Price of Land in this area, topography, shape , approach road, importance of location, possibilities of future development etc. </t>
  </si>
  <si>
    <t xml:space="preserve">Between the area of land as per Lalpurja and Area of Land as per </t>
  </si>
  <si>
    <t xml:space="preserve">Measurement , the </t>
  </si>
  <si>
    <t xml:space="preserve">area of land whichever is less has been considered. </t>
  </si>
  <si>
    <t xml:space="preserve">Fair Market Value is calculated based on 40% of Government Rate as </t>
  </si>
  <si>
    <t xml:space="preserve">recommended </t>
  </si>
  <si>
    <t xml:space="preserve">by Land Revenue Department, Government of Nepal and 60% of </t>
  </si>
  <si>
    <t xml:space="preserve">Prevailing Market Rate is taken. </t>
  </si>
  <si>
    <r>
      <t>Rate per sqft of building:</t>
    </r>
    <r>
      <rPr>
        <sz val="12"/>
        <color theme="1"/>
        <rFont val="Times New Roman"/>
        <family val="1"/>
      </rPr>
      <t xml:space="preserve"> Depending upon current rate of the building material and other items, the average reasonable  rate of the building is NRs. 2300.00 per Sqft. For each floor of the building.</t>
    </r>
  </si>
  <si>
    <r>
      <t>Cost of fixtures ( electricity and sanitary):</t>
    </r>
    <r>
      <rPr>
        <sz val="12"/>
        <color theme="1"/>
        <rFont val="Times New Roman"/>
        <family val="1"/>
      </rPr>
      <t xml:space="preserve"> Depending upon current rate of fixture material materials and other items, the reasonable rate of the fixtures are 5% for electricity and 5% for sanitary from the cost of the civil works for the total building cost.</t>
    </r>
  </si>
  <si>
    <t>Declaration of the Valuator</t>
  </si>
  <si>
    <t xml:space="preserve">The valuator declares that it has no interest, financially or otherwise in the property </t>
  </si>
  <si>
    <t>or with the client or property owner.</t>
  </si>
  <si>
    <t>Terminologies Used</t>
  </si>
  <si>
    <r>
      <t>Current Prevailing Market Value</t>
    </r>
    <r>
      <rPr>
        <sz val="12"/>
        <color theme="1"/>
        <rFont val="Times New Roman"/>
        <family val="1"/>
      </rPr>
      <t xml:space="preserve">: The current prevailing market value is the most </t>
    </r>
  </si>
  <si>
    <t xml:space="preserve">ongoing market value at the time of observation, which is obtained from the local </t>
  </si>
  <si>
    <t>residents, brokers and the owner.</t>
  </si>
  <si>
    <r>
      <t>Government Value</t>
    </r>
    <r>
      <rPr>
        <sz val="12"/>
        <color theme="1"/>
        <rFont val="Times New Roman"/>
        <family val="1"/>
      </rPr>
      <t xml:space="preserve">: The minimum government registration rate fixed by Malpot </t>
    </r>
  </si>
  <si>
    <t xml:space="preserve">Office of the concerned district is taken to calculate the government value of the land </t>
  </si>
  <si>
    <t>under consideration.</t>
  </si>
  <si>
    <r>
      <t>Fair Market Value</t>
    </r>
    <r>
      <rPr>
        <sz val="12"/>
        <color theme="1"/>
        <rFont val="Times New Roman"/>
        <family val="1"/>
      </rPr>
      <t xml:space="preserve">: Fair market value is the in-between value of prevailing market </t>
    </r>
  </si>
  <si>
    <t xml:space="preserve">value and the government value, whereby it is calculated by allowing 60% weight to </t>
  </si>
  <si>
    <t>the prevailing market rate and 40% weight to the government rate.</t>
  </si>
  <si>
    <r>
      <t xml:space="preserve">Client : </t>
    </r>
    <r>
      <rPr>
        <sz val="12"/>
        <color theme="1"/>
        <rFont val="Times New Roman"/>
        <family val="1"/>
      </rPr>
      <t xml:space="preserve"> The Client is the person/ company who wish to take service from the </t>
    </r>
  </si>
  <si>
    <t xml:space="preserve">institution. </t>
  </si>
  <si>
    <r>
      <t>Owner:</t>
    </r>
    <r>
      <rPr>
        <sz val="12"/>
        <color theme="1"/>
        <rFont val="Times New Roman"/>
        <family val="1"/>
      </rPr>
      <t xml:space="preserve"> The owner is the person or people who provides support for the Client by </t>
    </r>
  </si>
  <si>
    <t xml:space="preserve">providing available fixed assets to the institution on behalf of the Client in legal </t>
  </si>
  <si>
    <t xml:space="preserve">mode. </t>
  </si>
  <si>
    <r>
      <t>Lalpurja :</t>
    </r>
    <r>
      <rPr>
        <sz val="12"/>
        <color theme="1"/>
        <rFont val="Times New Roman"/>
        <family val="1"/>
      </rPr>
      <t xml:space="preserve"> Lalpurja (Title Deed Document) is the legal document provided by the </t>
    </r>
  </si>
  <si>
    <t xml:space="preserve">government authority to the land owner specifying the ownerhip. </t>
  </si>
  <si>
    <r>
      <t>Cadastral Map :</t>
    </r>
    <r>
      <rPr>
        <sz val="10"/>
        <color theme="1"/>
        <rFont val="Times New Roman"/>
        <family val="1"/>
      </rPr>
      <t xml:space="preserve"> </t>
    </r>
    <r>
      <rPr>
        <sz val="12"/>
        <color theme="1"/>
        <rFont val="Times New Roman"/>
        <family val="1"/>
      </rPr>
      <t xml:space="preserve">Cadastral Map is the map issued by Land Revenue Department </t>
    </r>
  </si>
  <si>
    <t>indicating the plot no, road , river, etc.</t>
  </si>
  <si>
    <t>Access road to the considered property is via under the adjacent building.</t>
  </si>
  <si>
    <t>Remarks:</t>
  </si>
  <si>
    <t>Water supply facility on that Area</t>
  </si>
  <si>
    <t>Electricity Supply on that Area</t>
  </si>
  <si>
    <t>D</t>
  </si>
  <si>
    <t>Building</t>
  </si>
  <si>
    <t xml:space="preserve">Residential </t>
  </si>
  <si>
    <t xml:space="preserve">Approved Drawing of Building </t>
  </si>
  <si>
    <t>Approval of Construction from VDC</t>
  </si>
  <si>
    <t>Construction Completion Certificate</t>
  </si>
  <si>
    <t>Tax Clearance Certificate of Building</t>
  </si>
  <si>
    <t>Type of Property to be mortgaged</t>
  </si>
  <si>
    <t>Area of the land</t>
  </si>
  <si>
    <t>R</t>
  </si>
  <si>
    <t>P</t>
  </si>
  <si>
    <t>Area Considered</t>
  </si>
  <si>
    <t>Parameters of Four Boundary</t>
  </si>
  <si>
    <t>West</t>
  </si>
  <si>
    <t>Accessability</t>
  </si>
  <si>
    <t>North</t>
  </si>
  <si>
    <t>Market Value (NRs)</t>
  </si>
  <si>
    <t>Total Amount</t>
  </si>
  <si>
    <t>Value of the Property:</t>
  </si>
  <si>
    <t>Access Road</t>
  </si>
  <si>
    <t>Area in Sqm.</t>
  </si>
  <si>
    <t>First Floor</t>
  </si>
  <si>
    <t>S.N.</t>
  </si>
  <si>
    <t>Plot</t>
  </si>
  <si>
    <t>The Land area is calculated in accordance to the measurement taken in the field and reference from the government survey sheet(blue print) and trace map. The land area is also referred to from the approved architectural drawing of building.</t>
  </si>
  <si>
    <t>A= ` √s(s-a)(s-b)(s-c)</t>
  </si>
  <si>
    <t xml:space="preserve">       A) Land</t>
  </si>
  <si>
    <t>Annex B: Supporting Legal Documents</t>
  </si>
  <si>
    <t>Length</t>
  </si>
  <si>
    <t>Breadth</t>
  </si>
  <si>
    <t>Height</t>
  </si>
  <si>
    <t>Owner of the property</t>
  </si>
  <si>
    <t>Location of  Property</t>
  </si>
  <si>
    <t>Description of the Building</t>
  </si>
  <si>
    <t>Status</t>
  </si>
  <si>
    <t>At Present</t>
  </si>
  <si>
    <t>Second Floor</t>
  </si>
  <si>
    <t>Signature</t>
  </si>
  <si>
    <t>We are fully responsible for the information and legal document provided to prepare this valuation report. We are commited, and there is no legal complication. It is not being acquired by government, and it is not a prohibited area for construction, I also declare that the valuation is acceptable to me regarding the value of my property and other relevant details.</t>
  </si>
  <si>
    <t>Area as per Measurement</t>
  </si>
  <si>
    <t xml:space="preserve">Fair Market Value of Land </t>
  </si>
  <si>
    <t xml:space="preserve">Total Fair Market Value of Land </t>
  </si>
  <si>
    <t>Er. Sukhla Deep Shrestha</t>
  </si>
  <si>
    <t>Site Visited By</t>
  </si>
  <si>
    <t>Checked By</t>
  </si>
  <si>
    <t>a.</t>
  </si>
  <si>
    <t>The stated opinions of value are effective as of the date of value based upon information that was available to the valuer at the time of the valuation analysis was conducted. Values may changes substantially with time, and the valuer reserves the right to alter stated opinion of value if relevant information becomes available.</t>
  </si>
  <si>
    <t>b.</t>
  </si>
  <si>
    <t>To the based of our knowledge, all matters of factual nature discussed in this report are true and correct. No important factors have been intentionally overlooked or withheld.</t>
  </si>
  <si>
    <t>c.</t>
  </si>
  <si>
    <t>It has been fully ascertained that lending of the Bank is fully secured by this mortgaged up to the Distress Value of the amount certified on the report. It has been mentioned if there is any doubt</t>
  </si>
  <si>
    <t>The use of the business property does not indicate any possibility of toxic contamination of the ground. Our analysis is based upon the assumption that there is no contamination present. We have not conducted any considered opinion as to the effect that ground contamination would have on our value conclusion.studies regarding the possibility of ground contamination, nor have we formed a engineering</t>
  </si>
  <si>
    <t>d.</t>
  </si>
  <si>
    <t xml:space="preserve">Economical obsolescence of the property has not been considered in this report. </t>
  </si>
  <si>
    <t>e.</t>
  </si>
  <si>
    <t>This valuation was conducted for the purpose of establishing Fair Market and Distress Values of the said property for the Client and the Bank for use in mortgaging these properties. It is not to be used for any other purpose part of this report is to be disseminated to the public or third parties. We certify that our firm is fully authorized to carry out the valuation work under the prevalent laws and we are fully equipped and competent to carry out the assignment and have the necessary qualifications, skills and  experience required for the same. We also certify that no individual in our firm has any financial interest in the said property. To the best of our knowledge, all matters of a factual nature discussed in this report are true and correct. No important factors have been intentionally overlooked or withheld. We have physically inspected, verified and measured the properties in the presence of the  Client/Representative of The conclusions in this report are our unbiased considered opinions of Fair Market and Distress Values of the subject assets as of the date of valuation. We transformed all the details and information furnished by the Client/Owner for the above property and he/ she confirmed all details is true in my presence.</t>
  </si>
  <si>
    <t>Motorable Access</t>
  </si>
  <si>
    <t xml:space="preserve">Yes </t>
  </si>
  <si>
    <t>Telephone Line</t>
  </si>
  <si>
    <t>Water Logging</t>
  </si>
  <si>
    <t>Property Type</t>
  </si>
  <si>
    <t xml:space="preserve">Commercial </t>
  </si>
  <si>
    <t xml:space="preserve">Industrial </t>
  </si>
  <si>
    <t>Property Ownership Type</t>
  </si>
  <si>
    <t>Company</t>
  </si>
  <si>
    <t>Hold Type</t>
  </si>
  <si>
    <t xml:space="preserve">Free Hold </t>
  </si>
  <si>
    <t>Leasehold</t>
  </si>
  <si>
    <t>*</t>
  </si>
  <si>
    <t>Special Comments</t>
  </si>
  <si>
    <t>Distance from High Tension Line if any</t>
  </si>
  <si>
    <t xml:space="preserve">Means and Proximity to Surface transportation by which locality is Served </t>
  </si>
  <si>
    <t>Uses of Land (e.g. Vacant, Farm, Garden, Barren Land, Developed for residential purpose, or as factory, Residence etc.</t>
  </si>
  <si>
    <t>Features for increase of value of property</t>
  </si>
  <si>
    <t>The Property has no such features.</t>
  </si>
  <si>
    <t xml:space="preserve">Other Facilities Available (e.g Electric Line, Water Supply, Sewer Lines, Telephone etc.) </t>
  </si>
  <si>
    <t>Rent</t>
  </si>
  <si>
    <t>Comments if any</t>
  </si>
  <si>
    <t>N/A.</t>
  </si>
  <si>
    <t>Frontage of Land</t>
  </si>
  <si>
    <t>Access of the Land as per Blue Print</t>
  </si>
  <si>
    <t>Access of the Land as per Field</t>
  </si>
  <si>
    <t>Face of Land</t>
  </si>
  <si>
    <t>7. Limiting Conditions</t>
  </si>
  <si>
    <t>8. Remarks</t>
  </si>
  <si>
    <t>9. Opinion</t>
  </si>
  <si>
    <t>10. Declaration</t>
  </si>
  <si>
    <t>12. Certification</t>
  </si>
  <si>
    <t>14. Methodology of Valuation</t>
  </si>
  <si>
    <t>VALUATION OF THE PROPERTY</t>
  </si>
  <si>
    <t>Total</t>
  </si>
  <si>
    <t>Fair Market Value (NRs)</t>
  </si>
  <si>
    <t>As from Local People and the judgement of the valuator</t>
  </si>
  <si>
    <r>
      <t xml:space="preserve">In our opinion, the Property may be taken as mortgage for the Bank value  recommended in the Property Valuation Report. However, all the remarks made above shall be taken into consideration and all Legal Documents shall be scrutinized by Legal Expert.  
The said properties have been verified after visiting the site and measuring it as shown by the Client for the purpose of mortgaging it in </t>
    </r>
    <r>
      <rPr>
        <b/>
        <sz val="11"/>
        <color theme="1"/>
        <rFont val="Calibri"/>
        <family val="2"/>
      </rPr>
      <t>M/S Agricultural Development Bank Ltd</t>
    </r>
    <r>
      <rPr>
        <sz val="11"/>
        <color theme="1"/>
        <rFont val="Calibri"/>
        <family val="2"/>
      </rPr>
      <t>.</t>
    </r>
  </si>
  <si>
    <t>3. Land Revenue Payment Receipt</t>
  </si>
  <si>
    <t>Structural System</t>
  </si>
  <si>
    <t>RCC Frame Structure</t>
  </si>
  <si>
    <t>Depreciation Rate</t>
  </si>
  <si>
    <t>Age of the Building</t>
  </si>
  <si>
    <t xml:space="preserve">       B) Building</t>
  </si>
  <si>
    <t>B.</t>
  </si>
  <si>
    <t>Whether 6 Month 35 days in case of Normal Sale and 2 years 35 days in case of Gift has elapsed</t>
  </si>
  <si>
    <t>Whether Normal Sale/Gift</t>
  </si>
  <si>
    <t>Whether the Current/Revenue has been paid</t>
  </si>
  <si>
    <t>Regular</t>
  </si>
  <si>
    <t>6. Copy of Building Construction Approval Certificate</t>
  </si>
  <si>
    <t>7. Copy of Building Construction Completion Certificate</t>
  </si>
  <si>
    <t>Details of Land (Area in Square Meter)</t>
  </si>
  <si>
    <t>Total Fair Market Value of Land &amp; Building Project</t>
  </si>
  <si>
    <t>Ayush Bhujel</t>
  </si>
  <si>
    <t>Jorpati</t>
  </si>
  <si>
    <t>a. Name, Address and General Information of the Client</t>
  </si>
  <si>
    <t xml:space="preserve">d. Location of the Property </t>
  </si>
  <si>
    <t xml:space="preserve">e. Total Area of the Land </t>
  </si>
  <si>
    <t>g. Importance of the Location</t>
  </si>
  <si>
    <t>h. Description of the Property</t>
  </si>
  <si>
    <t>2. Legal Aspects of the Property</t>
  </si>
  <si>
    <t>4. Commercial Importance of the Land and Building</t>
  </si>
  <si>
    <t>5. Summary of Valuation of the Property</t>
  </si>
  <si>
    <t>6. Valuation of the Property</t>
  </si>
  <si>
    <t>13. Site Measurement of the Land (Area Calculation)</t>
  </si>
  <si>
    <t>Letter of ADBL &amp; Covering Letter of the Consultant Engineer.</t>
  </si>
  <si>
    <t>b. Property to be Mortgaged</t>
  </si>
  <si>
    <t>c. Name, Address and General Information of the Owner of the Property</t>
  </si>
  <si>
    <t>f. Parameters of the Four Boundaries</t>
  </si>
  <si>
    <t>3. Summary Declaration Sheet:</t>
  </si>
  <si>
    <t>11. Acceptance and Declaration of the Property by the Owner and the Client</t>
  </si>
  <si>
    <t>15. Terminology Used</t>
  </si>
  <si>
    <t>16. Property Location Map / Triangulation</t>
  </si>
  <si>
    <t>17. Copy of Government Rate and Bank Guidelines (ADBL)</t>
  </si>
  <si>
    <t>Annex A: GPS Information &amp; Photographs of the Property</t>
  </si>
  <si>
    <t>4. Four Boundary Disclosure</t>
  </si>
  <si>
    <t>2. Copy of Title Deed Certificate (Lalpurja)</t>
  </si>
  <si>
    <t>8. Copy of Approved Building Drawing</t>
  </si>
  <si>
    <t>5. Original Blueprint/Trace Map</t>
  </si>
  <si>
    <t>1. Copy of Citizenship Certificate of the Owner/Client</t>
  </si>
  <si>
    <t>Present Ward No.</t>
  </si>
  <si>
    <t>Sabik</t>
  </si>
  <si>
    <t>Sabik Ward No.</t>
  </si>
  <si>
    <t>Tarakeshwor Municipality</t>
  </si>
  <si>
    <t>Manamaiju VDC</t>
  </si>
  <si>
    <t>Tentative (Data Entry)</t>
  </si>
  <si>
    <t>Property Address :</t>
  </si>
  <si>
    <t>Government Rate</t>
  </si>
  <si>
    <t>Market Rate</t>
  </si>
  <si>
    <t>Gov Ratio</t>
  </si>
  <si>
    <t>Market Ratio</t>
  </si>
  <si>
    <t>In Words :</t>
  </si>
  <si>
    <t>Commercial Value</t>
  </si>
  <si>
    <t>Fair Market Value</t>
  </si>
  <si>
    <t>Fair Market Rate Per Aana :</t>
  </si>
  <si>
    <t>Government Value</t>
  </si>
  <si>
    <t>Considered Area</t>
  </si>
  <si>
    <t>Aana</t>
  </si>
  <si>
    <t xml:space="preserve">Property Valuation Report </t>
  </si>
  <si>
    <t>Properties to be Valued</t>
  </si>
  <si>
    <t>Land &amp; Building Located at</t>
  </si>
  <si>
    <t>Plot No:</t>
  </si>
  <si>
    <t>Submitted to</t>
  </si>
  <si>
    <t>M/S. AGRICULTURAL DEVELOPMENT BANK LTD.</t>
  </si>
  <si>
    <t>BANK</t>
  </si>
  <si>
    <t>BRANCH</t>
  </si>
  <si>
    <t>Prepared by</t>
  </si>
  <si>
    <t>Dream Project Engineering Consultancy Pvt. Ltd.</t>
  </si>
  <si>
    <t>Loktantrik Chowk, Tarkeshwor-10</t>
  </si>
  <si>
    <t>Kathmandu, Nepal</t>
  </si>
  <si>
    <t>Tel:+977- 9851246415/01-4027350</t>
  </si>
  <si>
    <r>
      <t xml:space="preserve">Email: </t>
    </r>
    <r>
      <rPr>
        <u/>
        <sz val="11"/>
        <color theme="1"/>
        <rFont val="Calibri"/>
        <family val="2"/>
        <scheme val="minor"/>
      </rPr>
      <t>dreamprojectengineering@gmail.com</t>
    </r>
  </si>
  <si>
    <t>Ref No. :</t>
  </si>
  <si>
    <t>To</t>
  </si>
  <si>
    <t>The Respected Manager,</t>
  </si>
  <si>
    <t>M/S. Agricultural Development Bank Ltd.</t>
  </si>
  <si>
    <t>Dear Sir/Madam,</t>
  </si>
  <si>
    <t>Valuation Certificate</t>
  </si>
  <si>
    <t xml:space="preserve">            We are submitting here with the valuation report of the property which are intended to be mortgaged to the bank by:</t>
  </si>
  <si>
    <t>Address:</t>
  </si>
  <si>
    <t>We hereby declare and certify that:</t>
  </si>
  <si>
    <t>1.</t>
  </si>
  <si>
    <t>2.</t>
  </si>
  <si>
    <t>We have no direct or indirect interests in the said company or properties.</t>
  </si>
  <si>
    <t>3.</t>
  </si>
  <si>
    <t>4.</t>
  </si>
  <si>
    <t>The value of the properties as detailed in this report has been carried out by us in strict compliance with the “Valuation Guidelines -2068” of M/S Agricultural Development Bank Ltd.</t>
  </si>
  <si>
    <t>The information furnished are true &amp; correct to the best made available to us by the client</t>
  </si>
  <si>
    <t>5.</t>
  </si>
  <si>
    <t>5.	The said property is acceptable security to the Bank in all respects.</t>
  </si>
  <si>
    <t>All necessary calculations and documents are attached herewith for ready reference and record.</t>
  </si>
  <si>
    <t>Yours faithfully,</t>
  </si>
  <si>
    <t>NEC. No. :- 14901 “Civil” “A” Class</t>
  </si>
  <si>
    <t>For M/s: Dream Project Engineering Consultancy (P). Ltd.</t>
  </si>
  <si>
    <t>Triangulation method is adopted for the determination of the actual area of land. The dimension of land is given in the separate sheet, which is attached along with this report in the Appendix.</t>
  </si>
  <si>
    <t>Mathematically, the area A of a triangle is given by,</t>
  </si>
  <si>
    <t>Total Land area as per Measurement:</t>
  </si>
  <si>
    <t>Total Land area as per Measurement after Deduction:</t>
  </si>
  <si>
    <t>Total Area in Aana =</t>
  </si>
  <si>
    <t>C.</t>
  </si>
  <si>
    <t>Area after Deduction</t>
  </si>
  <si>
    <t>SITE VISITED BY</t>
  </si>
  <si>
    <t>ADBL</t>
  </si>
  <si>
    <t>Location of the Property</t>
  </si>
  <si>
    <t>50%</t>
  </si>
  <si>
    <t xml:space="preserve">In Words: </t>
  </si>
  <si>
    <t>Ground Floor</t>
  </si>
  <si>
    <t>Third Floor</t>
  </si>
  <si>
    <t>Fourth Floor</t>
  </si>
  <si>
    <t>Sixth Floor</t>
  </si>
  <si>
    <t>Seventh Floor</t>
  </si>
  <si>
    <t>Eighth Floor</t>
  </si>
  <si>
    <t>Area of the Building (Sq.ft.)</t>
  </si>
  <si>
    <t>Water Facility</t>
  </si>
  <si>
    <t>Electricity Facility</t>
  </si>
  <si>
    <t>5%</t>
  </si>
  <si>
    <t>Yrs.</t>
  </si>
  <si>
    <t>Valuation of the Land</t>
  </si>
  <si>
    <t>Tenth Floor</t>
  </si>
  <si>
    <t>Semi Basement</t>
  </si>
  <si>
    <t>Basement</t>
  </si>
  <si>
    <t>Sq.ft.</t>
  </si>
  <si>
    <t>Fifth Floor</t>
  </si>
  <si>
    <t>Remarks (If Any) :</t>
  </si>
  <si>
    <t xml:space="preserve">Approved Area </t>
  </si>
  <si>
    <t xml:space="preserve">Note: If the Government Rate is in Other Unit </t>
  </si>
  <si>
    <t>Unit :</t>
  </si>
  <si>
    <t>Rate per Unit :</t>
  </si>
  <si>
    <t xml:space="preserve">Per Aana = </t>
  </si>
  <si>
    <t xml:space="preserve">Value of the Land  </t>
  </si>
  <si>
    <t>Survey Date</t>
  </si>
  <si>
    <t>Property to be Mortgage</t>
  </si>
  <si>
    <t>TOTAL VALUATION OF THE PROPERTY</t>
  </si>
  <si>
    <t>Fair Market Value of the Land :</t>
  </si>
  <si>
    <t>Fair Market Value of the Building :</t>
  </si>
  <si>
    <t>SAY :</t>
  </si>
  <si>
    <t>Total (SAY) :</t>
  </si>
  <si>
    <t>Total Commercial Value of the Property :</t>
  </si>
  <si>
    <t>Say (FMV)</t>
  </si>
  <si>
    <t>Fair Market Value (NRs.)</t>
  </si>
  <si>
    <t>Commercial Value (NRs.)</t>
  </si>
  <si>
    <r>
      <t xml:space="preserve">I/We hereby certify that Valuation of the Properties as detailed in this report has been carried 
out by me/us in strict Compliance with Valuation Guidelines of </t>
    </r>
    <r>
      <rPr>
        <b/>
        <sz val="11"/>
        <color rgb="FF000000"/>
        <rFont val="Calibri"/>
        <family val="2"/>
      </rPr>
      <t>M/S. Agricultural Development Bank Limited.</t>
    </r>
    <r>
      <rPr>
        <sz val="11"/>
        <color rgb="FF000000"/>
        <rFont val="Calibri"/>
        <family val="2"/>
      </rPr>
      <t xml:space="preserve">
The said property is an acceptable security to bank in all respects.
</t>
    </r>
  </si>
  <si>
    <t>SITE VISITOR NUMBER</t>
  </si>
  <si>
    <t>Mobile No. 9851246415</t>
  </si>
  <si>
    <t>After Deduction</t>
  </si>
  <si>
    <t>Sq.m.</t>
  </si>
  <si>
    <t>Land (Detail Information)</t>
  </si>
  <si>
    <t>Parameters of the Four Boundaries</t>
  </si>
  <si>
    <t>East :</t>
  </si>
  <si>
    <t>West :</t>
  </si>
  <si>
    <t>North :</t>
  </si>
  <si>
    <t>South :</t>
  </si>
  <si>
    <t>Reference No.</t>
  </si>
  <si>
    <t>Nearest Landmark :</t>
  </si>
  <si>
    <t>GPS Co-ordinate :</t>
  </si>
  <si>
    <t>GPS Co-ordinate</t>
  </si>
  <si>
    <t>Pitched Road</t>
  </si>
  <si>
    <t>Earthen Road</t>
  </si>
  <si>
    <t>Concrete Slab Road</t>
  </si>
  <si>
    <t>Block Paved Road</t>
  </si>
  <si>
    <t>Gravelled Road</t>
  </si>
  <si>
    <t>Stone Paved Road</t>
  </si>
  <si>
    <t>Foot Trail</t>
  </si>
  <si>
    <t>Locality (Tole) :</t>
  </si>
  <si>
    <t>Public Transportation Distance :</t>
  </si>
  <si>
    <t>Services</t>
  </si>
  <si>
    <t>Water Supply Line</t>
  </si>
  <si>
    <t>Sewerage Pipe Line</t>
  </si>
  <si>
    <t>Electricity Line</t>
  </si>
  <si>
    <t>TV Cable</t>
  </si>
  <si>
    <t>Influencing Factors</t>
  </si>
  <si>
    <t>High-tension line near the property</t>
  </si>
  <si>
    <t>River/Stream near the property</t>
  </si>
  <si>
    <t>Temple/Shrine near the property</t>
  </si>
  <si>
    <t>Fuel storage depot near the property</t>
  </si>
  <si>
    <t>Cremation area near the property</t>
  </si>
  <si>
    <t>Army barracks near the property</t>
  </si>
  <si>
    <t>Monument near the property</t>
  </si>
  <si>
    <t>Hazardous factory</t>
  </si>
  <si>
    <t>Dumping site near the property</t>
  </si>
  <si>
    <t>Property Type :</t>
  </si>
  <si>
    <t>Property Ownership Type :</t>
  </si>
  <si>
    <t>Hold Type :</t>
  </si>
  <si>
    <t>Residual Age of the Building</t>
  </si>
  <si>
    <t>Individual (Single)</t>
  </si>
  <si>
    <t>Individual (Joint)</t>
  </si>
  <si>
    <t>Agricultural</t>
  </si>
  <si>
    <t>Proximity to Civic Amenities (e.g Market, School, Hospital, Office, College etc.)</t>
  </si>
  <si>
    <t>Residential</t>
  </si>
  <si>
    <t>if True :</t>
  </si>
  <si>
    <t>Distance from the Centerline of the Road/Highway</t>
  </si>
  <si>
    <t>Distance from the River/Stream</t>
  </si>
  <si>
    <t>Features for decrease of value of property (eg. Hazardous Factory, Noise generation Factory, Sewage Dumping, Water Logged Area)</t>
  </si>
  <si>
    <t>LORC Registration Date :</t>
  </si>
  <si>
    <t>Mode of Acquisition of the Property :</t>
  </si>
  <si>
    <t>Sale</t>
  </si>
  <si>
    <t>Land Revenue Payment Date :</t>
  </si>
  <si>
    <t>Holding period has elapsed or not :</t>
  </si>
  <si>
    <t>Access marked on Government Survey Map</t>
  </si>
  <si>
    <t xml:space="preserve">Date of Certification </t>
  </si>
  <si>
    <t>Certificate of Parameters of Boundaries</t>
  </si>
  <si>
    <t>Shape of the Land :</t>
  </si>
  <si>
    <t>Topography of Land :</t>
  </si>
  <si>
    <t>Road Access as per Blueprint/Trace Map :</t>
  </si>
  <si>
    <t>Road Access as per Field :</t>
  </si>
  <si>
    <t>Frontage of the Land :</t>
  </si>
  <si>
    <t>Face of the Land :</t>
  </si>
  <si>
    <t>Land Legal Aspect</t>
  </si>
  <si>
    <t>Nearest Market :</t>
  </si>
  <si>
    <t>High Tension Line above the Site</t>
  </si>
  <si>
    <t>Distance from Main Road</t>
  </si>
  <si>
    <t>Ward No.</t>
  </si>
  <si>
    <t>Area of Land (Aana)</t>
  </si>
  <si>
    <t>Land in Aana</t>
  </si>
  <si>
    <t>Area in Aana</t>
  </si>
  <si>
    <t>Area in Sq.ft.</t>
  </si>
  <si>
    <t>Total Area in Sq.ft. =</t>
  </si>
  <si>
    <t>Total Area in Sq.m. =</t>
  </si>
  <si>
    <t>Daam</t>
  </si>
  <si>
    <t>FISCAL YEAR</t>
  </si>
  <si>
    <t>Municipality/VDC</t>
  </si>
  <si>
    <t>Kathmandu</t>
  </si>
  <si>
    <t>Area (Sq.ft.)</t>
  </si>
  <si>
    <t>Sheet No. :</t>
  </si>
  <si>
    <t>Valuation Date in B.S.</t>
  </si>
  <si>
    <t>Valuation Date in A.D.</t>
  </si>
  <si>
    <t>Final Report (Data Entry)</t>
  </si>
  <si>
    <t>Area as per approval has been considered.</t>
  </si>
  <si>
    <t>Total Area</t>
  </si>
  <si>
    <t>Ninth Floor</t>
  </si>
  <si>
    <t>Depreciated Amount</t>
  </si>
  <si>
    <t>Gross Building Value</t>
  </si>
  <si>
    <t>Depreciation Adjustment</t>
  </si>
  <si>
    <t>Net Value of the Building after Depreciation</t>
  </si>
  <si>
    <t>Life of the Building</t>
  </si>
  <si>
    <t>No. of Client/Owner Form</t>
  </si>
  <si>
    <t>No. of Client/Owner</t>
  </si>
  <si>
    <t>Present Address</t>
  </si>
  <si>
    <t>10</t>
  </si>
  <si>
    <t>5</t>
  </si>
  <si>
    <t>No. of Plot</t>
  </si>
  <si>
    <t>Client 5</t>
  </si>
  <si>
    <t>Owner 5</t>
  </si>
  <si>
    <t>Owner 2</t>
  </si>
  <si>
    <t>Owner 3</t>
  </si>
  <si>
    <t>Owner 4</t>
  </si>
  <si>
    <t>Client 3</t>
  </si>
  <si>
    <t>Client 4</t>
  </si>
  <si>
    <t>Individual (Male)</t>
  </si>
  <si>
    <t>Client</t>
  </si>
  <si>
    <t>13.</t>
  </si>
  <si>
    <t>20.</t>
  </si>
  <si>
    <t>19.</t>
  </si>
  <si>
    <t>18.</t>
  </si>
  <si>
    <t>17.</t>
  </si>
  <si>
    <t>16.</t>
  </si>
  <si>
    <t>15.</t>
  </si>
  <si>
    <t>14.</t>
  </si>
  <si>
    <t>12.</t>
  </si>
  <si>
    <t>11.</t>
  </si>
  <si>
    <t>10.</t>
  </si>
  <si>
    <t>9.</t>
  </si>
  <si>
    <t>6.</t>
  </si>
  <si>
    <t>7.</t>
  </si>
  <si>
    <t>8.</t>
  </si>
  <si>
    <t>Building Label</t>
  </si>
  <si>
    <t>LAND</t>
  </si>
  <si>
    <t>Mr. Ram Bahadur Khatri</t>
  </si>
  <si>
    <t>Owner 1</t>
  </si>
  <si>
    <t>Mrs. Saru Khatri</t>
  </si>
  <si>
    <t>Jorpati, Kathmandu</t>
  </si>
  <si>
    <t>Dolakha</t>
  </si>
  <si>
    <t>29505/1856</t>
  </si>
  <si>
    <t>2060/02/27</t>
  </si>
  <si>
    <t>District Administration Office, Dolakha</t>
  </si>
  <si>
    <t>Mr. Chandra Bahadur Khatri</t>
  </si>
  <si>
    <t>Mr. Sadananda Upadhya</t>
  </si>
  <si>
    <t>Jiri Municipality</t>
  </si>
  <si>
    <t>223036-272</t>
  </si>
  <si>
    <t>Individual (Female)</t>
  </si>
  <si>
    <t>2063/11/22</t>
  </si>
  <si>
    <t>Jorpati VDC</t>
  </si>
  <si>
    <t>Gokarneshwor Municipality</t>
  </si>
  <si>
    <t>2070/12/14</t>
  </si>
  <si>
    <t xml:space="preserve"> 27°43'23.40"N, 85°22'35.91"E</t>
  </si>
  <si>
    <t>10ft wide Road at West Side</t>
  </si>
  <si>
    <t>10ft wide Concrete Slab Road at West Side</t>
  </si>
  <si>
    <t>28'-00" wide</t>
  </si>
  <si>
    <t>28'-00" West Side</t>
  </si>
  <si>
    <t>5min</t>
  </si>
  <si>
    <t>Plot No. 114 &amp; 115</t>
  </si>
  <si>
    <t>Plot No. 301 (Road)</t>
  </si>
  <si>
    <t>Plot No. 299</t>
  </si>
  <si>
    <t>Plot No. 297</t>
  </si>
  <si>
    <t>2083/01/17</t>
  </si>
  <si>
    <t>Joint</t>
  </si>
  <si>
    <t>-</t>
  </si>
  <si>
    <t>(Land)</t>
  </si>
  <si>
    <t>300m North-West from Agricultural Development Bank, Jorpati Branch via Jorpati</t>
  </si>
  <si>
    <t>House</t>
  </si>
  <si>
    <t>2082/06/27</t>
  </si>
  <si>
    <t>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</si>
</sst>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1" formatCode="_(* #,##0_);_(* \(#,##0\);_(* &quot;-&quot;_);_(@_)"/>
    <numFmt numFmtId="43" formatCode="_(* #,##0.00_);_(* \(#,##0.00\);_(* &quot;-&quot;??_);_(@_)"/>
    <numFmt numFmtId="164" formatCode="0.0"/>
    <numFmt numFmtId="165" formatCode="_(* #,##0_);_(* \(#,##0\);_(* &quot;-&quot;??_);_(@_)"/>
    <numFmt numFmtId="166" formatCode="_(* #,##0.0_);_(* \(#,##0.0\);_(* &quot;-&quot;?_);_(@_)"/>
    <numFmt numFmtId="167" formatCode="0.000"/>
    <numFmt numFmtId="168" formatCode="[$-409]mmmm\ d\,\ yyyy;@"/>
    <numFmt numFmtId="169" formatCode="[$]mmmm\ d\,\ yyyy;@"/>
    <numFmt numFmtId="170" formatCode="00"/>
  </numFmts>
  <fonts count="72" x14ac:knownFonts="1">
    <font>
      <sz val="11"/>
      <color theme="1"/>
      <name val="Calibri"/>
      <family val="2"/>
      <scheme val="minor"/>
    </font>
    <font>
      <sz val="11"/>
      <color theme="1"/>
      <name val="Calibri"/>
      <family val="2"/>
      <scheme val="minor"/>
    </font>
    <font>
      <b/>
      <sz val="14"/>
      <color theme="1"/>
      <name val="Times New Roman"/>
      <family val="1"/>
    </font>
    <font>
      <b/>
      <sz val="11"/>
      <color theme="1"/>
      <name val="Calibri"/>
      <family val="2"/>
      <scheme val="minor"/>
    </font>
    <font>
      <sz val="14"/>
      <color theme="1"/>
      <name val="Times New Roman"/>
      <family val="1"/>
    </font>
    <font>
      <i/>
      <sz val="14"/>
      <color theme="1"/>
      <name val="Times New Roman"/>
      <family val="1"/>
    </font>
    <font>
      <sz val="8"/>
      <color theme="1"/>
      <name val="Calibri"/>
      <family val="2"/>
      <scheme val="minor"/>
    </font>
    <font>
      <sz val="10"/>
      <name val="Arial Narrow"/>
      <family val="2"/>
    </font>
    <font>
      <b/>
      <sz val="10"/>
      <name val="Arial"/>
      <family val="2"/>
    </font>
    <font>
      <sz val="10"/>
      <name val="Arial"/>
      <family val="2"/>
    </font>
    <font>
      <b/>
      <u/>
      <sz val="10"/>
      <name val="Arial"/>
      <family val="2"/>
    </font>
    <font>
      <sz val="12"/>
      <color theme="1"/>
      <name val="Calibri"/>
      <family val="2"/>
      <scheme val="minor"/>
    </font>
    <font>
      <sz val="11"/>
      <name val="Calibri"/>
      <family val="2"/>
      <scheme val="minor"/>
    </font>
    <font>
      <b/>
      <sz val="14"/>
      <color theme="1"/>
      <name val="Calibri"/>
      <family val="2"/>
      <scheme val="minor"/>
    </font>
    <font>
      <b/>
      <sz val="12"/>
      <color theme="1"/>
      <name val="Calibri"/>
      <family val="2"/>
      <scheme val="minor"/>
    </font>
    <font>
      <sz val="11"/>
      <color theme="1"/>
      <name val="Calibri"/>
      <family val="2"/>
    </font>
    <font>
      <b/>
      <u/>
      <sz val="11"/>
      <color theme="1"/>
      <name val="Times New Roman"/>
      <family val="1"/>
    </font>
    <font>
      <sz val="10"/>
      <color theme="1"/>
      <name val="Times New Roman"/>
      <family val="1"/>
    </font>
    <font>
      <sz val="12"/>
      <color theme="1"/>
      <name val="Times New Roman"/>
      <family val="1"/>
    </font>
    <font>
      <b/>
      <sz val="12"/>
      <name val="Calibri"/>
      <family val="2"/>
    </font>
    <font>
      <sz val="12"/>
      <name val="Calibri"/>
      <family val="2"/>
    </font>
    <font>
      <b/>
      <sz val="11"/>
      <name val="Calibri"/>
      <family val="2"/>
    </font>
    <font>
      <sz val="11"/>
      <name val="Calibri"/>
      <family val="2"/>
    </font>
    <font>
      <b/>
      <sz val="11"/>
      <color theme="1"/>
      <name val="Calibri"/>
      <family val="2"/>
    </font>
    <font>
      <b/>
      <sz val="12"/>
      <color theme="1"/>
      <name val="Arial"/>
      <family val="2"/>
    </font>
    <font>
      <b/>
      <sz val="12"/>
      <color theme="1"/>
      <name val="Times New Roman"/>
      <family val="1"/>
    </font>
    <font>
      <b/>
      <sz val="16"/>
      <color theme="1"/>
      <name val="Times New Roman"/>
      <family val="1"/>
    </font>
    <font>
      <b/>
      <sz val="10"/>
      <color theme="1"/>
      <name val="Times New Roman"/>
      <family val="1"/>
    </font>
    <font>
      <sz val="9"/>
      <color theme="1"/>
      <name val="Calibri"/>
      <family val="2"/>
      <scheme val="minor"/>
    </font>
    <font>
      <sz val="11"/>
      <color indexed="8"/>
      <name val="Calibri"/>
      <family val="2"/>
    </font>
    <font>
      <sz val="10"/>
      <color theme="1"/>
      <name val="Calibri"/>
      <family val="2"/>
      <scheme val="minor"/>
    </font>
    <font>
      <b/>
      <u/>
      <sz val="11"/>
      <color theme="1"/>
      <name val="Calibri"/>
      <family val="2"/>
      <scheme val="minor"/>
    </font>
    <font>
      <b/>
      <sz val="11"/>
      <color theme="0"/>
      <name val="Calibri"/>
      <family val="2"/>
      <scheme val="minor"/>
    </font>
    <font>
      <sz val="11"/>
      <color theme="0"/>
      <name val="Calibri"/>
      <family val="2"/>
      <scheme val="minor"/>
    </font>
    <font>
      <b/>
      <sz val="9"/>
      <color rgb="FF000000"/>
      <name val="Times New Roman"/>
      <family val="1"/>
    </font>
    <font>
      <sz val="9"/>
      <color rgb="FF000000"/>
      <name val="Times New Roman"/>
      <family val="1"/>
    </font>
    <font>
      <b/>
      <u/>
      <sz val="14"/>
      <color theme="1"/>
      <name val="Calibri"/>
      <family val="2"/>
      <scheme val="minor"/>
    </font>
    <font>
      <sz val="12"/>
      <color theme="1"/>
      <name val="Cambria"/>
      <family val="1"/>
      <scheme val="major"/>
    </font>
    <font>
      <i/>
      <sz val="14"/>
      <color theme="1"/>
      <name val="Calibri"/>
      <family val="2"/>
      <scheme val="minor"/>
    </font>
    <font>
      <i/>
      <sz val="11"/>
      <color theme="1"/>
      <name val="Calibri"/>
      <family val="2"/>
      <scheme val="minor"/>
    </font>
    <font>
      <sz val="12"/>
      <name val="Times New Roman"/>
      <family val="1"/>
    </font>
    <font>
      <sz val="11"/>
      <color theme="1"/>
      <name val="Times New Roman"/>
      <family val="1"/>
    </font>
    <font>
      <b/>
      <sz val="10"/>
      <color rgb="FF000000"/>
      <name val="Times New Roman"/>
      <family val="1"/>
    </font>
    <font>
      <sz val="10"/>
      <color rgb="FF000000"/>
      <name val="Times New Roman"/>
      <family val="1"/>
    </font>
    <font>
      <b/>
      <sz val="12"/>
      <color rgb="FF000000"/>
      <name val="Calibri"/>
      <family val="2"/>
    </font>
    <font>
      <b/>
      <sz val="14"/>
      <color rgb="FF000000"/>
      <name val="Times New Roman"/>
      <family val="1"/>
    </font>
    <font>
      <sz val="11"/>
      <color rgb="FF000000"/>
      <name val="Calibri"/>
      <family val="2"/>
    </font>
    <font>
      <b/>
      <sz val="11"/>
      <color rgb="FF000000"/>
      <name val="Calibri"/>
      <family val="2"/>
    </font>
    <font>
      <sz val="12"/>
      <color rgb="FF000000"/>
      <name val="Calibri"/>
      <family val="2"/>
    </font>
    <font>
      <i/>
      <sz val="12"/>
      <color theme="1"/>
      <name val="Calibri"/>
      <family val="2"/>
      <scheme val="minor"/>
    </font>
    <font>
      <b/>
      <u/>
      <sz val="16"/>
      <color theme="1"/>
      <name val="Times New Roman"/>
      <family val="1"/>
    </font>
    <font>
      <b/>
      <sz val="16"/>
      <color rgb="FF0070C0"/>
      <name val="Times New Roman"/>
      <family val="1"/>
    </font>
    <font>
      <b/>
      <sz val="11"/>
      <color theme="1"/>
      <name val="Times New Roman"/>
      <family val="1"/>
    </font>
    <font>
      <b/>
      <sz val="11"/>
      <name val="Calibri"/>
      <family val="2"/>
      <scheme val="minor"/>
    </font>
    <font>
      <b/>
      <sz val="12"/>
      <name val="Calibri"/>
      <family val="2"/>
      <scheme val="minor"/>
    </font>
    <font>
      <b/>
      <u/>
      <sz val="12"/>
      <color theme="1"/>
      <name val="Calibri"/>
      <family val="2"/>
      <scheme val="minor"/>
    </font>
    <font>
      <sz val="14"/>
      <color theme="1"/>
      <name val="Algerian"/>
      <family val="5"/>
    </font>
    <font>
      <b/>
      <sz val="20"/>
      <color theme="1"/>
      <name val="Times New Roman"/>
      <family val="1"/>
    </font>
    <font>
      <b/>
      <sz val="18"/>
      <color theme="1"/>
      <name val="Times New Roman"/>
      <family val="1"/>
    </font>
    <font>
      <b/>
      <sz val="16"/>
      <color theme="1"/>
      <name val="Calibri"/>
      <family val="2"/>
    </font>
    <font>
      <b/>
      <u/>
      <sz val="18"/>
      <color theme="1"/>
      <name val="Times New Roman"/>
      <family val="1"/>
    </font>
    <font>
      <u/>
      <sz val="11"/>
      <color theme="10"/>
      <name val="Calibri"/>
      <family val="2"/>
      <scheme val="minor"/>
    </font>
    <font>
      <u/>
      <sz val="11"/>
      <color theme="1"/>
      <name val="Calibri"/>
      <family val="2"/>
      <scheme val="minor"/>
    </font>
    <font>
      <b/>
      <sz val="18"/>
      <color theme="1"/>
      <name val="Calibri"/>
      <family val="2"/>
      <scheme val="minor"/>
    </font>
    <font>
      <sz val="11"/>
      <color rgb="FF000000"/>
      <name val="Times New Roman"/>
      <family val="1"/>
    </font>
    <font>
      <b/>
      <u/>
      <sz val="14"/>
      <color theme="1"/>
      <name val="Arial Narrow"/>
      <family val="2"/>
    </font>
    <font>
      <b/>
      <i/>
      <sz val="14"/>
      <color theme="1"/>
      <name val="Times New Roman"/>
      <family val="1"/>
    </font>
    <font>
      <b/>
      <sz val="12"/>
      <name val="Cambria"/>
      <family val="1"/>
      <scheme val="major"/>
    </font>
    <font>
      <b/>
      <sz val="11"/>
      <color theme="0"/>
      <name val="Algerian"/>
      <family val="5"/>
    </font>
    <font>
      <b/>
      <sz val="11"/>
      <color theme="1"/>
      <name val="Arial Black"/>
      <family val="2"/>
    </font>
    <font>
      <b/>
      <sz val="10"/>
      <color theme="1"/>
      <name val="Arial Black"/>
      <family val="2"/>
    </font>
    <font>
      <b/>
      <u/>
      <sz val="14"/>
      <color theme="1"/>
      <name val="Algerian"/>
      <family val="5"/>
    </font>
  </fonts>
  <fills count="10">
    <fill>
      <patternFill patternType="none"/>
    </fill>
    <fill>
      <patternFill patternType="gray125"/>
    </fill>
    <fill>
      <patternFill patternType="solid">
        <fgColor theme="0"/>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D8D8D8"/>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00B05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style="medium">
        <color indexed="64"/>
      </right>
      <top style="thin">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s>
  <cellStyleXfs count="4">
    <xf numFmtId="0" fontId="0" fillId="0" borderId="0"/>
    <xf numFmtId="43" fontId="1" fillId="0" borderId="0" applyFont="0" applyFill="0" applyBorder="0" applyAlignment="0" applyProtection="0"/>
    <xf numFmtId="43" fontId="29" fillId="0" borderId="0" applyFont="0" applyFill="0" applyBorder="0" applyAlignment="0" applyProtection="0"/>
    <xf numFmtId="0" fontId="61" fillId="0" borderId="0" applyNumberFormat="0" applyFill="0" applyBorder="0" applyAlignment="0" applyProtection="0"/>
  </cellStyleXfs>
  <cellXfs count="601">
    <xf numFmtId="0" fontId="0" fillId="0" borderId="0" xfId="0"/>
    <xf numFmtId="43" fontId="0" fillId="0" borderId="0" xfId="0" applyNumberFormat="1"/>
    <xf numFmtId="0" fontId="3" fillId="0" borderId="0" xfId="0" applyFont="1"/>
    <xf numFmtId="0" fontId="4" fillId="0" borderId="0" xfId="0" applyFont="1"/>
    <xf numFmtId="0" fontId="5" fillId="0" borderId="0" xfId="0" applyFont="1"/>
    <xf numFmtId="0" fontId="0" fillId="0" borderId="0" xfId="0" applyAlignment="1">
      <alignment horizontal="right"/>
    </xf>
    <xf numFmtId="0" fontId="2" fillId="0" borderId="0" xfId="0" applyFont="1"/>
    <xf numFmtId="0" fontId="3" fillId="4" borderId="1" xfId="0" applyFont="1" applyFill="1" applyBorder="1" applyAlignment="1">
      <alignment horizontal="center"/>
    </xf>
    <xf numFmtId="0" fontId="7" fillId="0" borderId="0" xfId="0" applyFont="1"/>
    <xf numFmtId="0" fontId="0" fillId="0" borderId="0" xfId="0" applyAlignment="1">
      <alignment wrapText="1"/>
    </xf>
    <xf numFmtId="0" fontId="0" fillId="0" borderId="0" xfId="0" applyAlignment="1">
      <alignment vertical="center"/>
    </xf>
    <xf numFmtId="0" fontId="0" fillId="0" borderId="0" xfId="0" applyAlignment="1">
      <alignment vertical="top"/>
    </xf>
    <xf numFmtId="0" fontId="0" fillId="0" borderId="0" xfId="0" applyAlignment="1">
      <alignment horizontal="justify" vertical="center" wrapText="1"/>
    </xf>
    <xf numFmtId="0" fontId="0" fillId="0" borderId="0" xfId="0" applyAlignment="1">
      <alignment horizontal="left"/>
    </xf>
    <xf numFmtId="43" fontId="14" fillId="2" borderId="0" xfId="1" applyFont="1" applyFill="1" applyBorder="1"/>
    <xf numFmtId="0" fontId="0" fillId="0" borderId="1" xfId="0" applyBorder="1" applyAlignment="1">
      <alignment horizontal="center"/>
    </xf>
    <xf numFmtId="0" fontId="0" fillId="0" borderId="0" xfId="0" applyAlignment="1">
      <alignment vertical="center" wrapText="1"/>
    </xf>
    <xf numFmtId="0" fontId="15" fillId="0" borderId="0" xfId="0" applyFont="1" applyAlignment="1">
      <alignment horizontal="left" wrapText="1"/>
    </xf>
    <xf numFmtId="0" fontId="15" fillId="0" borderId="0" xfId="0" applyFont="1"/>
    <xf numFmtId="0" fontId="15" fillId="0" borderId="0" xfId="0" applyFont="1" applyAlignment="1">
      <alignment horizontal="center"/>
    </xf>
    <xf numFmtId="0" fontId="18" fillId="0" borderId="0" xfId="0" applyFont="1" applyAlignment="1">
      <alignment horizontal="justify"/>
    </xf>
    <xf numFmtId="0" fontId="17" fillId="0" borderId="0" xfId="0" applyFont="1"/>
    <xf numFmtId="0" fontId="18" fillId="0" borderId="0" xfId="0" applyFont="1"/>
    <xf numFmtId="2" fontId="19" fillId="0" borderId="0" xfId="0" applyNumberFormat="1" applyFont="1" applyAlignment="1">
      <alignment horizontal="center"/>
    </xf>
    <xf numFmtId="0" fontId="19" fillId="0" borderId="0" xfId="0" applyFont="1"/>
    <xf numFmtId="0" fontId="20" fillId="0" borderId="0" xfId="0" applyFont="1"/>
    <xf numFmtId="0" fontId="15" fillId="0" borderId="0" xfId="0" applyFont="1" applyAlignment="1">
      <alignment vertical="center"/>
    </xf>
    <xf numFmtId="0" fontId="15" fillId="0" borderId="5" xfId="0" applyFont="1" applyBorder="1" applyAlignment="1">
      <alignment horizontal="center" vertical="center" wrapText="1"/>
    </xf>
    <xf numFmtId="1" fontId="15" fillId="0" borderId="10" xfId="0" applyNumberFormat="1" applyFont="1" applyBorder="1" applyAlignment="1" applyProtection="1">
      <alignment horizontal="center" vertical="center" wrapText="1"/>
      <protection locked="0"/>
    </xf>
    <xf numFmtId="0" fontId="15" fillId="0" borderId="9" xfId="0" applyFont="1" applyBorder="1"/>
    <xf numFmtId="0" fontId="15" fillId="0" borderId="10" xfId="0" applyFont="1" applyBorder="1"/>
    <xf numFmtId="0" fontId="15" fillId="0" borderId="16" xfId="0" applyFont="1" applyBorder="1"/>
    <xf numFmtId="0" fontId="15" fillId="0" borderId="17" xfId="0" applyFont="1" applyBorder="1"/>
    <xf numFmtId="0" fontId="15" fillId="0" borderId="14" xfId="0" applyFont="1" applyBorder="1"/>
    <xf numFmtId="0" fontId="15" fillId="0" borderId="6" xfId="0" applyFont="1" applyBorder="1"/>
    <xf numFmtId="0" fontId="21" fillId="0" borderId="0" xfId="0" applyFont="1" applyAlignment="1">
      <alignment horizontal="center" vertical="center"/>
    </xf>
    <xf numFmtId="0" fontId="21" fillId="0" borderId="0" xfId="0" applyFont="1" applyAlignment="1">
      <alignment vertical="center"/>
    </xf>
    <xf numFmtId="0" fontId="22" fillId="0" borderId="1" xfId="0" applyFont="1" applyBorder="1" applyAlignment="1">
      <alignment horizontal="center"/>
    </xf>
    <xf numFmtId="2" fontId="22" fillId="0" borderId="1" xfId="0" applyNumberFormat="1" applyFont="1" applyBorder="1" applyAlignment="1">
      <alignment horizontal="center"/>
    </xf>
    <xf numFmtId="0" fontId="22" fillId="0" borderId="9" xfId="0" applyFont="1" applyBorder="1" applyAlignment="1">
      <alignment horizontal="center" vertical="center"/>
    </xf>
    <xf numFmtId="0" fontId="22" fillId="0" borderId="10" xfId="0" applyFont="1" applyBorder="1" applyAlignment="1">
      <alignment horizontal="center" vertical="center"/>
    </xf>
    <xf numFmtId="0" fontId="22" fillId="0" borderId="5" xfId="0" applyFont="1" applyBorder="1" applyAlignment="1">
      <alignment vertical="center"/>
    </xf>
    <xf numFmtId="0" fontId="22" fillId="0" borderId="14" xfId="0" applyFont="1" applyBorder="1" applyAlignment="1">
      <alignment vertical="center"/>
    </xf>
    <xf numFmtId="164" fontId="21" fillId="0" borderId="0" xfId="0" applyNumberFormat="1" applyFont="1" applyAlignment="1">
      <alignment horizontal="center" vertical="center"/>
    </xf>
    <xf numFmtId="0" fontId="16" fillId="0" borderId="0" xfId="0" applyFont="1" applyAlignment="1">
      <alignment vertical="center"/>
    </xf>
    <xf numFmtId="0" fontId="22" fillId="0" borderId="0" xfId="0" applyFont="1" applyAlignment="1">
      <alignment horizontal="right"/>
    </xf>
    <xf numFmtId="0" fontId="22" fillId="0" borderId="0" xfId="0" applyFont="1"/>
    <xf numFmtId="0" fontId="22" fillId="0" borderId="0" xfId="0" applyFont="1" applyAlignment="1">
      <alignment vertical="center" wrapText="1"/>
    </xf>
    <xf numFmtId="0" fontId="22" fillId="0" borderId="0" xfId="0" applyFont="1" applyAlignment="1">
      <alignment vertical="center"/>
    </xf>
    <xf numFmtId="0" fontId="21" fillId="0" borderId="0" xfId="0" applyFont="1" applyAlignment="1">
      <alignment horizontal="right"/>
    </xf>
    <xf numFmtId="2" fontId="15" fillId="0" borderId="0" xfId="0" applyNumberFormat="1" applyFont="1" applyAlignment="1">
      <alignment horizontal="center"/>
    </xf>
    <xf numFmtId="0" fontId="15" fillId="0" borderId="13" xfId="0" applyFont="1" applyBorder="1"/>
    <xf numFmtId="2" fontId="21" fillId="0" borderId="7" xfId="0" applyNumberFormat="1" applyFont="1" applyBorder="1" applyAlignment="1">
      <alignment horizontal="center" vertical="center" wrapText="1"/>
    </xf>
    <xf numFmtId="0" fontId="21" fillId="5" borderId="1" xfId="0" applyFont="1" applyFill="1" applyBorder="1" applyAlignment="1">
      <alignment horizontal="center" vertical="center" wrapText="1"/>
    </xf>
    <xf numFmtId="0" fontId="21" fillId="5" borderId="1" xfId="0" applyFont="1" applyFill="1" applyBorder="1" applyAlignment="1">
      <alignment horizontal="center" vertical="center"/>
    </xf>
    <xf numFmtId="0" fontId="23" fillId="5" borderId="1" xfId="0" applyFont="1" applyFill="1" applyBorder="1" applyAlignment="1">
      <alignment horizontal="center" vertical="center" wrapText="1"/>
    </xf>
    <xf numFmtId="2" fontId="23" fillId="5" borderId="9" xfId="0" applyNumberFormat="1" applyFont="1" applyFill="1" applyBorder="1" applyAlignment="1">
      <alignment horizontal="center" vertical="center" wrapText="1"/>
    </xf>
    <xf numFmtId="2" fontId="23" fillId="5" borderId="1" xfId="0" applyNumberFormat="1" applyFont="1" applyFill="1" applyBorder="1" applyAlignment="1">
      <alignment horizontal="center" vertical="center" wrapText="1"/>
    </xf>
    <xf numFmtId="164" fontId="23" fillId="5" borderId="9" xfId="0" applyNumberFormat="1" applyFont="1" applyFill="1" applyBorder="1" applyAlignment="1">
      <alignment horizontal="center" vertical="center" wrapText="1"/>
    </xf>
    <xf numFmtId="0" fontId="23" fillId="5" borderId="7" xfId="0" applyFont="1" applyFill="1" applyBorder="1" applyAlignment="1">
      <alignment horizontal="center" vertical="center" wrapText="1"/>
    </xf>
    <xf numFmtId="0" fontId="24" fillId="0" borderId="0" xfId="0" applyFont="1"/>
    <xf numFmtId="0" fontId="25" fillId="0" borderId="0" xfId="0" applyFont="1" applyAlignment="1">
      <alignment horizontal="justify"/>
    </xf>
    <xf numFmtId="0" fontId="26" fillId="0" borderId="0" xfId="0" applyFont="1"/>
    <xf numFmtId="0" fontId="27" fillId="0" borderId="0" xfId="0" applyFont="1"/>
    <xf numFmtId="0" fontId="0" fillId="0" borderId="0" xfId="0" applyAlignment="1">
      <alignment horizontal="left" vertical="center"/>
    </xf>
    <xf numFmtId="0" fontId="22" fillId="0" borderId="0" xfId="0" applyFont="1" applyAlignment="1" applyProtection="1">
      <alignment vertical="center" wrapText="1"/>
      <protection locked="0"/>
    </xf>
    <xf numFmtId="0" fontId="22" fillId="0" borderId="9" xfId="0" applyFont="1" applyBorder="1" applyAlignment="1">
      <alignment horizontal="right" vertical="center" wrapText="1"/>
    </xf>
    <xf numFmtId="0" fontId="14" fillId="2" borderId="0" xfId="0" applyFont="1" applyFill="1" applyAlignment="1">
      <alignment horizontal="left" wrapText="1"/>
    </xf>
    <xf numFmtId="0" fontId="11" fillId="0" borderId="0" xfId="0" applyFont="1"/>
    <xf numFmtId="0" fontId="0" fillId="0" borderId="0" xfId="0" applyAlignment="1">
      <alignment horizontal="left" wrapText="1"/>
    </xf>
    <xf numFmtId="0" fontId="3" fillId="0" borderId="0" xfId="0" applyFont="1" applyAlignment="1">
      <alignment wrapText="1"/>
    </xf>
    <xf numFmtId="0" fontId="0" fillId="0" borderId="1" xfId="0" applyBorder="1" applyAlignment="1">
      <alignment horizontal="center" vertical="center" wrapText="1"/>
    </xf>
    <xf numFmtId="0" fontId="3" fillId="2" borderId="0" xfId="0" applyFont="1" applyFill="1" applyAlignment="1">
      <alignment vertical="center"/>
    </xf>
    <xf numFmtId="1" fontId="22" fillId="0" borderId="0" xfId="0" applyNumberFormat="1" applyFont="1" applyAlignment="1">
      <alignment horizontal="center" vertical="center"/>
    </xf>
    <xf numFmtId="0" fontId="15" fillId="0" borderId="0" xfId="0" applyFont="1" applyAlignment="1">
      <alignment vertical="top"/>
    </xf>
    <xf numFmtId="0" fontId="3" fillId="0" borderId="0" xfId="0" applyFont="1" applyAlignment="1">
      <alignment vertical="center"/>
    </xf>
    <xf numFmtId="0" fontId="0" fillId="0" borderId="1" xfId="0" applyBorder="1"/>
    <xf numFmtId="0" fontId="11" fillId="0" borderId="9" xfId="0" applyFont="1" applyBorder="1"/>
    <xf numFmtId="0" fontId="11" fillId="2" borderId="1" xfId="0" applyFont="1" applyFill="1" applyBorder="1" applyAlignment="1">
      <alignment vertical="center" wrapText="1"/>
    </xf>
    <xf numFmtId="43" fontId="11" fillId="2" borderId="1" xfId="1" applyFont="1" applyFill="1" applyBorder="1" applyAlignment="1">
      <alignment vertical="center"/>
    </xf>
    <xf numFmtId="1" fontId="0" fillId="0" borderId="1" xfId="0" applyNumberFormat="1" applyBorder="1" applyAlignment="1">
      <alignment horizontal="center"/>
    </xf>
    <xf numFmtId="2" fontId="0" fillId="0" borderId="1" xfId="0" applyNumberFormat="1" applyBorder="1" applyAlignment="1">
      <alignment horizontal="center"/>
    </xf>
    <xf numFmtId="0" fontId="3" fillId="5" borderId="1" xfId="0" applyFont="1" applyFill="1" applyBorder="1" applyAlignment="1">
      <alignment vertical="center"/>
    </xf>
    <xf numFmtId="0" fontId="3" fillId="5" borderId="1" xfId="0" applyFont="1" applyFill="1" applyBorder="1" applyAlignment="1">
      <alignment horizontal="center" vertical="center"/>
    </xf>
    <xf numFmtId="2" fontId="11" fillId="2" borderId="1" xfId="0" applyNumberFormat="1" applyFont="1" applyFill="1" applyBorder="1" applyAlignment="1">
      <alignment horizontal="center" vertical="center"/>
    </xf>
    <xf numFmtId="1" fontId="3" fillId="0" borderId="1" xfId="0" applyNumberFormat="1" applyFont="1" applyBorder="1" applyAlignment="1">
      <alignment horizontal="center" vertical="center"/>
    </xf>
    <xf numFmtId="2" fontId="3" fillId="0" borderId="1" xfId="0" applyNumberFormat="1" applyFont="1" applyBorder="1" applyAlignment="1">
      <alignment horizontal="center" vertical="center"/>
    </xf>
    <xf numFmtId="2" fontId="23" fillId="0" borderId="14" xfId="0" applyNumberFormat="1" applyFont="1" applyBorder="1" applyAlignment="1">
      <alignment horizontal="center"/>
    </xf>
    <xf numFmtId="0" fontId="3" fillId="5" borderId="1" xfId="0" applyFont="1" applyFill="1" applyBorder="1"/>
    <xf numFmtId="0" fontId="28" fillId="0" borderId="0" xfId="0" applyFont="1" applyAlignment="1">
      <alignment horizontal="left" indent="4"/>
    </xf>
    <xf numFmtId="0" fontId="28" fillId="0" borderId="0" xfId="0" applyFont="1"/>
    <xf numFmtId="0" fontId="37" fillId="0" borderId="0" xfId="0" applyFont="1"/>
    <xf numFmtId="0" fontId="38" fillId="0" borderId="0" xfId="0" applyFont="1" applyAlignment="1">
      <alignment horizontal="center"/>
    </xf>
    <xf numFmtId="43" fontId="0" fillId="0" borderId="0" xfId="1" applyFont="1" applyFill="1" applyBorder="1" applyAlignment="1">
      <alignment horizontal="center"/>
    </xf>
    <xf numFmtId="43" fontId="0" fillId="0" borderId="0" xfId="1" applyFont="1" applyFill="1" applyBorder="1" applyAlignment="1"/>
    <xf numFmtId="0" fontId="40" fillId="0" borderId="0" xfId="0" applyFont="1"/>
    <xf numFmtId="0" fontId="41" fillId="0" borderId="0" xfId="0" applyFont="1"/>
    <xf numFmtId="43" fontId="11" fillId="2" borderId="1" xfId="0" applyNumberFormat="1" applyFont="1" applyFill="1" applyBorder="1" applyAlignment="1">
      <alignment horizontal="left" vertical="center" wrapText="1"/>
    </xf>
    <xf numFmtId="0" fontId="37" fillId="0" borderId="0" xfId="0" applyFont="1" applyAlignment="1">
      <alignment horizontal="left" vertical="center"/>
    </xf>
    <xf numFmtId="0" fontId="22" fillId="0" borderId="7" xfId="0" applyFont="1" applyBorder="1" applyAlignment="1">
      <alignment horizontal="center" vertical="center"/>
    </xf>
    <xf numFmtId="166" fontId="0" fillId="0" borderId="0" xfId="0" applyNumberFormat="1"/>
    <xf numFmtId="0" fontId="43" fillId="0" borderId="1" xfId="0" applyFont="1" applyBorder="1" applyAlignment="1">
      <alignment horizontal="center" vertical="center" wrapText="1"/>
    </xf>
    <xf numFmtId="43" fontId="14" fillId="2" borderId="1" xfId="0" applyNumberFormat="1" applyFont="1" applyFill="1" applyBorder="1" applyAlignment="1">
      <alignment horizontal="left" vertical="center" wrapText="1"/>
    </xf>
    <xf numFmtId="0" fontId="34" fillId="6" borderId="9" xfId="0" applyFont="1" applyFill="1" applyBorder="1" applyAlignment="1">
      <alignment horizontal="center" vertical="center" wrapText="1"/>
    </xf>
    <xf numFmtId="0" fontId="45" fillId="0" borderId="0" xfId="0" applyFont="1"/>
    <xf numFmtId="0" fontId="46" fillId="0" borderId="0" xfId="0" applyFont="1"/>
    <xf numFmtId="0" fontId="46" fillId="0" borderId="0" xfId="0" applyFont="1" applyAlignment="1">
      <alignment horizontal="left" vertical="top" wrapText="1"/>
    </xf>
    <xf numFmtId="0" fontId="15" fillId="0" borderId="0" xfId="0" applyFont="1" applyAlignment="1">
      <alignment horizontal="left" vertical="center"/>
    </xf>
    <xf numFmtId="0" fontId="44" fillId="0" borderId="0" xfId="0" applyFont="1"/>
    <xf numFmtId="0" fontId="11" fillId="0" borderId="0" xfId="0" applyFont="1" applyAlignment="1">
      <alignment horizontal="right"/>
    </xf>
    <xf numFmtId="0" fontId="14" fillId="0" borderId="0" xfId="0" applyFont="1" applyAlignment="1">
      <alignment vertical="center"/>
    </xf>
    <xf numFmtId="0" fontId="49" fillId="0" borderId="0" xfId="0" applyFont="1" applyAlignment="1">
      <alignment horizontal="left" vertical="center" indent="1"/>
    </xf>
    <xf numFmtId="0" fontId="13" fillId="0" borderId="0" xfId="0" applyFont="1"/>
    <xf numFmtId="0" fontId="11" fillId="0" borderId="0" xfId="0" applyFont="1" applyAlignment="1">
      <alignment horizontal="right" vertical="center"/>
    </xf>
    <xf numFmtId="0" fontId="0" fillId="0" borderId="1" xfId="0" applyBorder="1" applyAlignment="1">
      <alignment horizontal="center" wrapText="1"/>
    </xf>
    <xf numFmtId="165" fontId="0" fillId="0" borderId="1" xfId="0" applyNumberFormat="1" applyBorder="1" applyAlignment="1">
      <alignment horizontal="center" wrapText="1"/>
    </xf>
    <xf numFmtId="0" fontId="11" fillId="0" borderId="10" xfId="0" applyFont="1" applyBorder="1"/>
    <xf numFmtId="0" fontId="11" fillId="0" borderId="11" xfId="0" applyFont="1" applyBorder="1"/>
    <xf numFmtId="0" fontId="0" fillId="0" borderId="13" xfId="0" applyBorder="1"/>
    <xf numFmtId="0" fontId="0" fillId="0" borderId="12" xfId="0" applyBorder="1" applyAlignment="1">
      <alignment vertical="center"/>
    </xf>
    <xf numFmtId="0" fontId="3" fillId="2" borderId="12" xfId="0" applyFont="1" applyFill="1" applyBorder="1" applyAlignment="1">
      <alignment vertical="center"/>
    </xf>
    <xf numFmtId="0" fontId="3" fillId="0" borderId="12" xfId="0" applyFont="1" applyBorder="1"/>
    <xf numFmtId="0" fontId="3" fillId="2" borderId="12" xfId="0" applyFont="1" applyFill="1" applyBorder="1"/>
    <xf numFmtId="0" fontId="3" fillId="0" borderId="12" xfId="0" applyFont="1" applyBorder="1" applyAlignment="1">
      <alignment horizontal="center"/>
    </xf>
    <xf numFmtId="4" fontId="3" fillId="0" borderId="13" xfId="0" applyNumberFormat="1" applyFont="1" applyBorder="1" applyAlignment="1">
      <alignment vertical="center" wrapText="1"/>
    </xf>
    <xf numFmtId="0" fontId="3" fillId="0" borderId="12" xfId="0" applyFont="1" applyBorder="1" applyAlignment="1">
      <alignment vertical="center"/>
    </xf>
    <xf numFmtId="0" fontId="3" fillId="0" borderId="13" xfId="0" applyFont="1" applyBorder="1" applyAlignment="1">
      <alignment horizontal="center"/>
    </xf>
    <xf numFmtId="43" fontId="0" fillId="0" borderId="13" xfId="1" applyFont="1" applyFill="1" applyBorder="1" applyAlignment="1"/>
    <xf numFmtId="0" fontId="0" fillId="0" borderId="9" xfId="0" applyBorder="1" applyAlignment="1">
      <alignment horizontal="left"/>
    </xf>
    <xf numFmtId="43" fontId="3" fillId="0" borderId="0" xfId="1" applyFont="1" applyFill="1" applyBorder="1" applyAlignment="1">
      <alignment horizontal="center"/>
    </xf>
    <xf numFmtId="0" fontId="34" fillId="6" borderId="1" xfId="0" applyFont="1" applyFill="1" applyBorder="1" applyAlignment="1">
      <alignment horizontal="center" vertical="center" wrapText="1"/>
    </xf>
    <xf numFmtId="0" fontId="31" fillId="2" borderId="15" xfId="0" applyFont="1" applyFill="1" applyBorder="1"/>
    <xf numFmtId="0" fontId="31" fillId="2" borderId="16" xfId="0" applyFont="1" applyFill="1" applyBorder="1"/>
    <xf numFmtId="0" fontId="3" fillId="2" borderId="16" xfId="0" applyFont="1" applyFill="1" applyBorder="1"/>
    <xf numFmtId="0" fontId="3" fillId="2" borderId="17" xfId="0" applyFont="1" applyFill="1" applyBorder="1"/>
    <xf numFmtId="0" fontId="3" fillId="2" borderId="13" xfId="0" applyFont="1" applyFill="1" applyBorder="1"/>
    <xf numFmtId="0" fontId="3" fillId="2" borderId="5" xfId="0" applyFont="1" applyFill="1" applyBorder="1" applyAlignment="1">
      <alignment horizontal="left" wrapText="1"/>
    </xf>
    <xf numFmtId="0" fontId="3" fillId="2" borderId="14" xfId="0" applyFont="1" applyFill="1" applyBorder="1" applyAlignment="1">
      <alignment horizontal="left" wrapText="1"/>
    </xf>
    <xf numFmtId="0" fontId="3" fillId="2" borderId="14" xfId="0" applyFont="1" applyFill="1" applyBorder="1" applyAlignment="1">
      <alignment horizontal="center" wrapText="1"/>
    </xf>
    <xf numFmtId="0" fontId="3" fillId="2" borderId="14" xfId="0" applyFont="1" applyFill="1" applyBorder="1"/>
    <xf numFmtId="0" fontId="3" fillId="2" borderId="6" xfId="0" applyFont="1" applyFill="1" applyBorder="1"/>
    <xf numFmtId="0" fontId="33" fillId="0" borderId="16" xfId="0" applyFont="1" applyBorder="1"/>
    <xf numFmtId="0" fontId="33" fillId="0" borderId="17" xfId="0" applyFont="1" applyBorder="1"/>
    <xf numFmtId="0" fontId="32" fillId="2" borderId="12" xfId="0" applyFont="1" applyFill="1" applyBorder="1"/>
    <xf numFmtId="0" fontId="3" fillId="2" borderId="5" xfId="0" applyFont="1" applyFill="1" applyBorder="1"/>
    <xf numFmtId="0" fontId="3" fillId="0" borderId="14" xfId="0" applyFont="1" applyBorder="1"/>
    <xf numFmtId="0" fontId="0" fillId="0" borderId="14" xfId="0" applyBorder="1"/>
    <xf numFmtId="0" fontId="3" fillId="0" borderId="6" xfId="0" applyFont="1" applyBorder="1"/>
    <xf numFmtId="0" fontId="11" fillId="2" borderId="1" xfId="0" applyFont="1" applyFill="1" applyBorder="1"/>
    <xf numFmtId="0" fontId="0" fillId="0" borderId="11" xfId="0" applyBorder="1" applyAlignment="1">
      <alignment wrapText="1"/>
    </xf>
    <xf numFmtId="0" fontId="14" fillId="3" borderId="1" xfId="0" applyFont="1" applyFill="1" applyBorder="1"/>
    <xf numFmtId="0" fontId="0" fillId="0" borderId="0" xfId="0" applyAlignment="1">
      <alignment horizontal="right" vertical="center"/>
    </xf>
    <xf numFmtId="0" fontId="11" fillId="2" borderId="12" xfId="0" applyFont="1" applyFill="1" applyBorder="1"/>
    <xf numFmtId="0" fontId="0" fillId="2" borderId="13" xfId="0" applyFill="1" applyBorder="1" applyAlignment="1">
      <alignment wrapText="1"/>
    </xf>
    <xf numFmtId="166" fontId="0" fillId="2" borderId="13" xfId="0" applyNumberFormat="1" applyFill="1" applyBorder="1" applyAlignment="1">
      <alignment wrapText="1"/>
    </xf>
    <xf numFmtId="0" fontId="3" fillId="0" borderId="7" xfId="0" applyFont="1" applyBorder="1"/>
    <xf numFmtId="2" fontId="35" fillId="0" borderId="1" xfId="0" applyNumberFormat="1" applyFont="1" applyBorder="1" applyAlignment="1">
      <alignment horizontal="center" vertical="center" wrapText="1"/>
    </xf>
    <xf numFmtId="43" fontId="3" fillId="0" borderId="1" xfId="0" applyNumberFormat="1" applyFont="1" applyBorder="1" applyAlignment="1">
      <alignment horizontal="center" vertical="center" wrapText="1"/>
    </xf>
    <xf numFmtId="2" fontId="0" fillId="0" borderId="0" xfId="0" applyNumberFormat="1"/>
    <xf numFmtId="0" fontId="14" fillId="2" borderId="0" xfId="0" applyFont="1" applyFill="1" applyAlignment="1">
      <alignment horizontal="left" vertical="center" wrapText="1"/>
    </xf>
    <xf numFmtId="43" fontId="14" fillId="2" borderId="0" xfId="0" applyNumberFormat="1" applyFont="1" applyFill="1" applyAlignment="1">
      <alignment horizontal="left" vertical="center" wrapText="1"/>
    </xf>
    <xf numFmtId="43" fontId="14" fillId="2" borderId="0" xfId="1" applyFont="1" applyFill="1" applyBorder="1" applyAlignment="1">
      <alignment horizontal="center"/>
    </xf>
    <xf numFmtId="0" fontId="3" fillId="0" borderId="0" xfId="0" applyFont="1" applyAlignment="1">
      <alignment horizontal="right"/>
    </xf>
    <xf numFmtId="43" fontId="14" fillId="2" borderId="1" xfId="1" applyFont="1" applyFill="1" applyBorder="1"/>
    <xf numFmtId="43" fontId="0" fillId="0" borderId="1" xfId="1" applyFont="1" applyBorder="1" applyAlignment="1">
      <alignment horizontal="right"/>
    </xf>
    <xf numFmtId="43" fontId="0" fillId="0" borderId="1" xfId="1" applyFont="1" applyBorder="1"/>
    <xf numFmtId="43" fontId="3" fillId="0" borderId="1" xfId="1" applyFont="1" applyBorder="1"/>
    <xf numFmtId="43" fontId="11" fillId="0" borderId="1" xfId="1" applyFont="1" applyFill="1" applyBorder="1" applyAlignment="1">
      <alignment vertical="center"/>
    </xf>
    <xf numFmtId="1" fontId="15" fillId="0" borderId="10" xfId="0" applyNumberFormat="1" applyFont="1" applyBorder="1" applyAlignment="1" applyProtection="1">
      <alignment vertical="center" wrapText="1"/>
      <protection locked="0"/>
    </xf>
    <xf numFmtId="0" fontId="50" fillId="0" borderId="0" xfId="0" applyFont="1" applyAlignment="1">
      <alignment horizontal="center" vertical="center"/>
    </xf>
    <xf numFmtId="0" fontId="51" fillId="0" borderId="0" xfId="0" applyFont="1" applyAlignment="1">
      <alignment horizontal="center" vertical="center"/>
    </xf>
    <xf numFmtId="0" fontId="18" fillId="0" borderId="0" xfId="0" applyFont="1" applyAlignment="1">
      <alignment horizontal="center" vertical="center"/>
    </xf>
    <xf numFmtId="0" fontId="3" fillId="0" borderId="0" xfId="0" applyFont="1" applyAlignment="1">
      <alignment horizontal="left" vertical="center"/>
    </xf>
    <xf numFmtId="0" fontId="22" fillId="0" borderId="10" xfId="0" applyFont="1" applyBorder="1" applyAlignment="1">
      <alignment vertical="center" wrapText="1"/>
    </xf>
    <xf numFmtId="0" fontId="22" fillId="0" borderId="11" xfId="0" applyFont="1" applyBorder="1" applyAlignment="1">
      <alignment vertical="center" wrapText="1"/>
    </xf>
    <xf numFmtId="0" fontId="21" fillId="0" borderId="1" xfId="0" applyFont="1" applyBorder="1" applyAlignment="1">
      <alignment horizontal="center" vertical="center"/>
    </xf>
    <xf numFmtId="2" fontId="21" fillId="0" borderId="1" xfId="0" applyNumberFormat="1" applyFont="1" applyBorder="1" applyAlignment="1">
      <alignment horizontal="center"/>
    </xf>
    <xf numFmtId="0" fontId="22" fillId="0" borderId="11" xfId="0" applyFont="1" applyBorder="1" applyAlignment="1">
      <alignment vertical="center"/>
    </xf>
    <xf numFmtId="0" fontId="22" fillId="0" borderId="6" xfId="0" applyFont="1" applyBorder="1" applyAlignment="1">
      <alignment vertical="center"/>
    </xf>
    <xf numFmtId="0" fontId="15" fillId="0" borderId="10" xfId="0" applyFont="1" applyBorder="1" applyAlignment="1">
      <alignment horizontal="center" vertical="center" wrapText="1"/>
    </xf>
    <xf numFmtId="0" fontId="23" fillId="0" borderId="14" xfId="0" applyFont="1" applyBorder="1" applyAlignment="1">
      <alignment horizontal="center"/>
    </xf>
    <xf numFmtId="0" fontId="23" fillId="0" borderId="14" xfId="0" applyFont="1" applyBorder="1"/>
    <xf numFmtId="0" fontId="44" fillId="0" borderId="0" xfId="0" applyFont="1" applyAlignment="1">
      <alignment horizontal="center"/>
    </xf>
    <xf numFmtId="0" fontId="54" fillId="0" borderId="0" xfId="0" applyFont="1" applyAlignment="1">
      <alignment vertical="center" wrapText="1"/>
    </xf>
    <xf numFmtId="0" fontId="11" fillId="0" borderId="1" xfId="0" applyFont="1" applyBorder="1" applyAlignment="1">
      <alignment horizontal="center"/>
    </xf>
    <xf numFmtId="0" fontId="11" fillId="2" borderId="1" xfId="0" applyFont="1" applyFill="1" applyBorder="1" applyAlignment="1">
      <alignment horizontal="center" vertical="center"/>
    </xf>
    <xf numFmtId="0" fontId="0" fillId="0" borderId="1" xfId="0" applyBorder="1" applyAlignment="1">
      <alignment horizontal="left" vertical="center" wrapText="1"/>
    </xf>
    <xf numFmtId="0" fontId="0" fillId="0" borderId="13" xfId="0" applyBorder="1" applyAlignment="1">
      <alignment vertical="center"/>
    </xf>
    <xf numFmtId="0" fontId="53" fillId="0" borderId="13" xfId="0" applyFont="1" applyBorder="1"/>
    <xf numFmtId="0" fontId="3" fillId="2" borderId="13" xfId="0" applyFont="1" applyFill="1" applyBorder="1" applyAlignment="1">
      <alignment vertical="center"/>
    </xf>
    <xf numFmtId="0" fontId="0" fillId="0" borderId="0" xfId="0" applyAlignment="1">
      <alignment horizontal="center"/>
    </xf>
    <xf numFmtId="0" fontId="15" fillId="0" borderId="16" xfId="0" applyFont="1" applyBorder="1" applyAlignment="1">
      <alignment horizontal="center"/>
    </xf>
    <xf numFmtId="0" fontId="55" fillId="0" borderId="0" xfId="0" applyFont="1"/>
    <xf numFmtId="0" fontId="0" fillId="0" borderId="20" xfId="0" applyBorder="1"/>
    <xf numFmtId="0" fontId="0" fillId="0" borderId="21" xfId="0" applyBorder="1"/>
    <xf numFmtId="0" fontId="0" fillId="0" borderId="20" xfId="0" applyBorder="1" applyAlignment="1">
      <alignment horizontal="right"/>
    </xf>
    <xf numFmtId="0" fontId="3" fillId="0" borderId="21" xfId="0" applyFont="1" applyBorder="1"/>
    <xf numFmtId="0" fontId="0" fillId="0" borderId="20" xfId="0" applyBorder="1" applyAlignment="1">
      <alignment horizontal="right" vertical="center"/>
    </xf>
    <xf numFmtId="0" fontId="3" fillId="0" borderId="20" xfId="0" applyFont="1" applyBorder="1" applyAlignment="1">
      <alignment horizontal="right" vertical="center"/>
    </xf>
    <xf numFmtId="0" fontId="0" fillId="0" borderId="22" xfId="0" applyBorder="1"/>
    <xf numFmtId="0" fontId="0" fillId="0" borderId="23" xfId="0" applyBorder="1"/>
    <xf numFmtId="0" fontId="0" fillId="0" borderId="24" xfId="0" applyBorder="1"/>
    <xf numFmtId="0" fontId="0" fillId="5" borderId="1" xfId="0" applyFill="1" applyBorder="1"/>
    <xf numFmtId="0" fontId="3" fillId="5" borderId="25" xfId="0" applyFont="1" applyFill="1" applyBorder="1"/>
    <xf numFmtId="0" fontId="3" fillId="5" borderId="1" xfId="0" applyFont="1" applyFill="1" applyBorder="1" applyAlignment="1">
      <alignment horizontal="left"/>
    </xf>
    <xf numFmtId="0" fontId="3" fillId="0" borderId="20" xfId="0" applyFont="1" applyBorder="1" applyAlignment="1">
      <alignment horizontal="right"/>
    </xf>
    <xf numFmtId="0" fontId="3" fillId="0" borderId="21" xfId="0" applyFont="1" applyBorder="1" applyAlignment="1">
      <alignment horizontal="left"/>
    </xf>
    <xf numFmtId="0" fontId="36" fillId="0" borderId="21" xfId="0" applyFont="1" applyBorder="1" applyAlignment="1">
      <alignment vertical="center"/>
    </xf>
    <xf numFmtId="0" fontId="41" fillId="0" borderId="0" xfId="0" applyFont="1" applyAlignment="1">
      <alignment wrapText="1"/>
    </xf>
    <xf numFmtId="0" fontId="64" fillId="0" borderId="0" xfId="0" applyFont="1" applyAlignment="1">
      <alignment horizontal="center" vertical="center"/>
    </xf>
    <xf numFmtId="3" fontId="41" fillId="0" borderId="0" xfId="0" applyNumberFormat="1" applyFont="1"/>
    <xf numFmtId="0" fontId="41" fillId="0" borderId="0" xfId="0" quotePrefix="1" applyFont="1" applyAlignment="1">
      <alignment horizontal="right"/>
    </xf>
    <xf numFmtId="0" fontId="52" fillId="0" borderId="0" xfId="0" applyFont="1"/>
    <xf numFmtId="0" fontId="41" fillId="0" borderId="14" xfId="0" applyFont="1" applyBorder="1"/>
    <xf numFmtId="3" fontId="22" fillId="0" borderId="10" xfId="0" applyNumberFormat="1" applyFont="1" applyBorder="1" applyAlignment="1">
      <alignment horizontal="left" vertical="center" wrapText="1"/>
    </xf>
    <xf numFmtId="2" fontId="22" fillId="0" borderId="0" xfId="0" applyNumberFormat="1" applyFont="1" applyAlignment="1">
      <alignment horizontal="center"/>
    </xf>
    <xf numFmtId="2" fontId="15" fillId="0" borderId="16" xfId="0" applyNumberFormat="1" applyFont="1" applyBorder="1" applyAlignment="1">
      <alignment horizontal="center"/>
    </xf>
    <xf numFmtId="0" fontId="14" fillId="3" borderId="1" xfId="0" applyFont="1" applyFill="1" applyBorder="1" applyAlignment="1">
      <alignment horizontal="center" wrapText="1"/>
    </xf>
    <xf numFmtId="0" fontId="14" fillId="3" borderId="1" xfId="0" applyFont="1" applyFill="1" applyBorder="1" applyAlignment="1">
      <alignment horizontal="center"/>
    </xf>
    <xf numFmtId="0" fontId="0" fillId="0" borderId="26" xfId="0" applyBorder="1"/>
    <xf numFmtId="43" fontId="3" fillId="0" borderId="0" xfId="1" applyFont="1" applyFill="1" applyBorder="1" applyAlignment="1">
      <alignment horizontal="left"/>
    </xf>
    <xf numFmtId="43" fontId="3" fillId="0" borderId="18" xfId="1" applyFont="1" applyFill="1" applyBorder="1"/>
    <xf numFmtId="43" fontId="3" fillId="0" borderId="27" xfId="1" applyFont="1" applyFill="1" applyBorder="1"/>
    <xf numFmtId="43" fontId="3" fillId="0" borderId="21" xfId="1" quotePrefix="1" applyFont="1" applyFill="1" applyBorder="1" applyAlignment="1">
      <alignment horizontal="center"/>
    </xf>
    <xf numFmtId="43" fontId="3" fillId="0" borderId="0" xfId="1" quotePrefix="1" applyFont="1" applyFill="1" applyBorder="1" applyAlignment="1">
      <alignment horizontal="center"/>
    </xf>
    <xf numFmtId="0" fontId="3" fillId="7" borderId="1" xfId="0" applyFont="1" applyFill="1" applyBorder="1" applyAlignment="1">
      <alignment horizontal="right" vertical="center"/>
    </xf>
    <xf numFmtId="43" fontId="0" fillId="0" borderId="0" xfId="0" applyNumberFormat="1" applyAlignment="1">
      <alignment horizontal="right"/>
    </xf>
    <xf numFmtId="0" fontId="3" fillId="0" borderId="0" xfId="0" applyFont="1" applyAlignment="1">
      <alignment horizontal="right" vertical="center"/>
    </xf>
    <xf numFmtId="0" fontId="3" fillId="0" borderId="10" xfId="0" applyFont="1" applyBorder="1" applyAlignment="1">
      <alignment horizontal="center"/>
    </xf>
    <xf numFmtId="0" fontId="3" fillId="0" borderId="14" xfId="0" applyFont="1" applyBorder="1" applyAlignment="1">
      <alignment horizontal="left"/>
    </xf>
    <xf numFmtId="0" fontId="3" fillId="0" borderId="18" xfId="0" applyFont="1" applyBorder="1" applyAlignment="1">
      <alignment horizontal="center"/>
    </xf>
    <xf numFmtId="0" fontId="3" fillId="0" borderId="22" xfId="0" applyFont="1" applyBorder="1" applyAlignment="1">
      <alignment horizontal="right" vertical="center"/>
    </xf>
    <xf numFmtId="0" fontId="3" fillId="0" borderId="23" xfId="0" applyFont="1" applyBorder="1" applyAlignment="1">
      <alignment horizontal="right" vertical="center"/>
    </xf>
    <xf numFmtId="0" fontId="3" fillId="0" borderId="30" xfId="0" applyFont="1" applyBorder="1" applyAlignment="1">
      <alignment horizontal="left"/>
    </xf>
    <xf numFmtId="0" fontId="3" fillId="0" borderId="28" xfId="0" applyFont="1" applyBorder="1" applyAlignment="1">
      <alignment horizontal="left"/>
    </xf>
    <xf numFmtId="0" fontId="3" fillId="0" borderId="29" xfId="0" applyFont="1" applyBorder="1" applyAlignment="1">
      <alignment horizontal="left"/>
    </xf>
    <xf numFmtId="0" fontId="3" fillId="5" borderId="1" xfId="0" applyFont="1" applyFill="1" applyBorder="1" applyAlignment="1" applyProtection="1">
      <alignment horizontal="left"/>
      <protection locked="0"/>
    </xf>
    <xf numFmtId="0" fontId="3" fillId="5" borderId="25" xfId="0" applyFont="1" applyFill="1" applyBorder="1" applyAlignment="1" applyProtection="1">
      <alignment horizontal="left"/>
      <protection locked="0"/>
    </xf>
    <xf numFmtId="168" fontId="3" fillId="5" borderId="1" xfId="0" applyNumberFormat="1" applyFont="1" applyFill="1" applyBorder="1" applyAlignment="1" applyProtection="1">
      <alignment horizontal="left"/>
      <protection locked="0"/>
    </xf>
    <xf numFmtId="0" fontId="0" fillId="5" borderId="1" xfId="0" applyFill="1" applyBorder="1" applyAlignment="1" applyProtection="1">
      <alignment horizontal="left"/>
      <protection locked="0"/>
    </xf>
    <xf numFmtId="0" fontId="0" fillId="5" borderId="25" xfId="0" applyFill="1" applyBorder="1" applyAlignment="1" applyProtection="1">
      <alignment horizontal="left"/>
      <protection locked="0"/>
    </xf>
    <xf numFmtId="2" fontId="3" fillId="5" borderId="1" xfId="0" applyNumberFormat="1" applyFont="1" applyFill="1" applyBorder="1" applyAlignment="1" applyProtection="1">
      <alignment horizontal="right"/>
      <protection locked="0"/>
    </xf>
    <xf numFmtId="43" fontId="3" fillId="5" borderId="1" xfId="1" applyFont="1" applyFill="1" applyBorder="1" applyAlignment="1" applyProtection="1">
      <alignment horizontal="left"/>
      <protection locked="0"/>
    </xf>
    <xf numFmtId="43" fontId="3" fillId="5" borderId="25" xfId="1" applyFont="1" applyFill="1" applyBorder="1" applyProtection="1">
      <protection locked="0"/>
    </xf>
    <xf numFmtId="9" fontId="0" fillId="5" borderId="25" xfId="0" quotePrefix="1" applyNumberFormat="1" applyFill="1" applyBorder="1" applyAlignment="1" applyProtection="1">
      <alignment horizontal="center"/>
      <protection locked="0"/>
    </xf>
    <xf numFmtId="9" fontId="0" fillId="5" borderId="1" xfId="0" quotePrefix="1" applyNumberFormat="1" applyFill="1" applyBorder="1" applyAlignment="1" applyProtection="1">
      <alignment horizontal="center"/>
      <protection locked="0"/>
    </xf>
    <xf numFmtId="0" fontId="3" fillId="5" borderId="1" xfId="1" applyNumberFormat="1" applyFont="1" applyFill="1" applyBorder="1" applyAlignment="1" applyProtection="1">
      <alignment horizontal="left"/>
      <protection locked="0"/>
    </xf>
    <xf numFmtId="43" fontId="3" fillId="5" borderId="25" xfId="1" quotePrefix="1" applyFont="1" applyFill="1" applyBorder="1" applyAlignment="1" applyProtection="1">
      <alignment horizontal="center"/>
      <protection locked="0"/>
    </xf>
    <xf numFmtId="43" fontId="3" fillId="5" borderId="1" xfId="1" quotePrefix="1" applyFont="1" applyFill="1" applyBorder="1" applyAlignment="1" applyProtection="1">
      <alignment horizontal="center"/>
      <protection locked="0"/>
    </xf>
    <xf numFmtId="0" fontId="3" fillId="5" borderId="1" xfId="1" quotePrefix="1" applyNumberFormat="1" applyFont="1" applyFill="1" applyBorder="1" applyAlignment="1" applyProtection="1">
      <alignment horizontal="center"/>
      <protection locked="0"/>
    </xf>
    <xf numFmtId="10" fontId="3" fillId="5" borderId="1" xfId="1" quotePrefix="1" applyNumberFormat="1" applyFont="1" applyFill="1" applyBorder="1" applyAlignment="1" applyProtection="1">
      <alignment horizontal="center"/>
      <protection locked="0"/>
    </xf>
    <xf numFmtId="0" fontId="0" fillId="0" borderId="20" xfId="0" applyBorder="1" applyAlignment="1" applyProtection="1">
      <alignment horizontal="right"/>
      <protection locked="0"/>
    </xf>
    <xf numFmtId="168" fontId="3" fillId="2" borderId="13" xfId="0" applyNumberFormat="1" applyFont="1" applyFill="1" applyBorder="1" applyAlignment="1">
      <alignment horizontal="left" vertical="center"/>
    </xf>
    <xf numFmtId="0" fontId="0" fillId="7" borderId="1" xfId="0" applyFill="1" applyBorder="1" applyAlignment="1">
      <alignment horizontal="left"/>
    </xf>
    <xf numFmtId="0" fontId="12" fillId="0" borderId="0" xfId="0" applyFont="1" applyAlignment="1">
      <alignment horizontal="left" vertical="center" wrapText="1"/>
    </xf>
    <xf numFmtId="0" fontId="0" fillId="7" borderId="1" xfId="0" applyFill="1" applyBorder="1"/>
    <xf numFmtId="0" fontId="0" fillId="7" borderId="25" xfId="0" quotePrefix="1" applyFill="1" applyBorder="1" applyAlignment="1">
      <alignment horizontal="left"/>
    </xf>
    <xf numFmtId="0" fontId="3" fillId="7" borderId="25" xfId="0" applyFont="1" applyFill="1" applyBorder="1" applyAlignment="1">
      <alignment horizontal="left"/>
    </xf>
    <xf numFmtId="0" fontId="3" fillId="7" borderId="1" xfId="0" applyFont="1" applyFill="1" applyBorder="1" applyAlignment="1">
      <alignment horizontal="left"/>
    </xf>
    <xf numFmtId="0" fontId="0" fillId="5" borderId="1" xfId="0" applyFill="1" applyBorder="1" applyAlignment="1">
      <alignment horizontal="left"/>
    </xf>
    <xf numFmtId="43" fontId="0" fillId="0" borderId="14" xfId="1" applyFont="1" applyFill="1" applyBorder="1" applyAlignment="1"/>
    <xf numFmtId="43" fontId="0" fillId="0" borderId="6" xfId="1" applyFont="1" applyFill="1" applyBorder="1" applyAlignment="1"/>
    <xf numFmtId="0" fontId="3" fillId="0" borderId="13" xfId="0" applyFont="1" applyBorder="1" applyAlignment="1">
      <alignment vertical="center"/>
    </xf>
    <xf numFmtId="43" fontId="3" fillId="0" borderId="0" xfId="1" applyFont="1" applyFill="1" applyBorder="1" applyAlignment="1">
      <alignment vertical="center"/>
    </xf>
    <xf numFmtId="0" fontId="3" fillId="0" borderId="0" xfId="0" applyFont="1" applyAlignment="1">
      <alignment horizontal="center"/>
    </xf>
    <xf numFmtId="0" fontId="35" fillId="0" borderId="1" xfId="0" applyFont="1" applyBorder="1" applyAlignment="1">
      <alignment horizontal="center" vertical="center" wrapText="1"/>
    </xf>
    <xf numFmtId="0" fontId="35" fillId="0" borderId="1" xfId="0" applyFont="1" applyBorder="1" applyAlignment="1">
      <alignment horizontal="center" vertical="center"/>
    </xf>
    <xf numFmtId="3" fontId="35" fillId="0" borderId="1" xfId="0" applyNumberFormat="1" applyFont="1" applyBorder="1" applyAlignment="1">
      <alignment horizontal="center" vertical="center" wrapText="1"/>
    </xf>
    <xf numFmtId="0" fontId="3" fillId="2" borderId="0" xfId="0" applyFont="1" applyFill="1"/>
    <xf numFmtId="0" fontId="28" fillId="0" borderId="0" xfId="0" applyFont="1" applyAlignment="1">
      <alignment wrapText="1"/>
    </xf>
    <xf numFmtId="0" fontId="0" fillId="0" borderId="13" xfId="0" applyBorder="1" applyAlignment="1">
      <alignment horizontal="left" vertical="center"/>
    </xf>
    <xf numFmtId="0" fontId="28" fillId="0" borderId="0" xfId="0" applyFont="1" applyAlignment="1">
      <alignment vertical="center"/>
    </xf>
    <xf numFmtId="0" fontId="28" fillId="0" borderId="0" xfId="0" applyFont="1" applyAlignment="1">
      <alignment horizontal="center" vertical="center"/>
    </xf>
    <xf numFmtId="0" fontId="0" fillId="0" borderId="0" xfId="0" applyAlignment="1">
      <alignment horizontal="right" vertical="center" wrapText="1"/>
    </xf>
    <xf numFmtId="43" fontId="0" fillId="0" borderId="0" xfId="1" applyFont="1" applyFill="1" applyBorder="1" applyAlignment="1">
      <alignment horizontal="left" vertical="center"/>
    </xf>
    <xf numFmtId="0" fontId="11" fillId="0" borderId="0" xfId="0" applyFont="1" applyAlignment="1">
      <alignment horizontal="right" vertical="center" wrapText="1"/>
    </xf>
    <xf numFmtId="0" fontId="3" fillId="0" borderId="0" xfId="0" applyFont="1" applyAlignment="1">
      <alignment horizontal="center" vertical="center"/>
    </xf>
    <xf numFmtId="43" fontId="3" fillId="0" borderId="0" xfId="1" applyFont="1" applyFill="1" applyBorder="1" applyAlignment="1">
      <alignment horizontal="center" vertical="center"/>
    </xf>
    <xf numFmtId="0" fontId="3" fillId="0" borderId="13" xfId="0" applyFont="1" applyBorder="1" applyAlignment="1">
      <alignment horizontal="center" vertical="center"/>
    </xf>
    <xf numFmtId="0" fontId="14" fillId="0" borderId="12" xfId="0" applyFont="1" applyBorder="1" applyAlignment="1">
      <alignment vertical="center"/>
    </xf>
    <xf numFmtId="0" fontId="11" fillId="0" borderId="0" xfId="0" applyFont="1" applyAlignment="1">
      <alignment vertical="center"/>
    </xf>
    <xf numFmtId="49" fontId="0" fillId="5" borderId="1" xfId="0" applyNumberFormat="1" applyFill="1" applyBorder="1" applyAlignment="1">
      <alignment horizontal="left"/>
    </xf>
    <xf numFmtId="49" fontId="0" fillId="2" borderId="0" xfId="0" quotePrefix="1" applyNumberFormat="1" applyFill="1" applyAlignment="1">
      <alignment horizontal="left" vertical="center"/>
    </xf>
    <xf numFmtId="0" fontId="2" fillId="0" borderId="0" xfId="0" applyFont="1" applyAlignment="1">
      <alignment vertical="center"/>
    </xf>
    <xf numFmtId="0" fontId="8" fillId="0" borderId="0" xfId="0" applyFont="1" applyAlignment="1">
      <alignment vertical="center"/>
    </xf>
    <xf numFmtId="0" fontId="9" fillId="0" borderId="0" xfId="0" applyFont="1" applyAlignment="1">
      <alignment vertical="center"/>
    </xf>
    <xf numFmtId="0" fontId="0" fillId="0" borderId="0" xfId="0" applyAlignment="1">
      <alignment horizontal="justify" vertical="center"/>
    </xf>
    <xf numFmtId="0" fontId="10" fillId="0" borderId="0" xfId="0" applyFont="1" applyAlignment="1">
      <alignment horizontal="justify" vertical="center" wrapText="1"/>
    </xf>
    <xf numFmtId="49" fontId="0" fillId="0" borderId="0" xfId="0" quotePrefix="1" applyNumberFormat="1" applyAlignment="1">
      <alignment horizontal="left" vertical="center"/>
    </xf>
    <xf numFmtId="49" fontId="0" fillId="0" borderId="0" xfId="0" applyNumberFormat="1" applyAlignment="1">
      <alignment vertical="center"/>
    </xf>
    <xf numFmtId="49" fontId="0" fillId="0" borderId="0" xfId="0" quotePrefix="1" applyNumberFormat="1" applyAlignment="1">
      <alignment vertical="center"/>
    </xf>
    <xf numFmtId="0" fontId="10" fillId="0" borderId="0" xfId="0" applyFont="1" applyAlignment="1">
      <alignment vertical="center" wrapText="1"/>
    </xf>
    <xf numFmtId="0" fontId="7" fillId="0" borderId="0" xfId="0" applyFont="1" applyAlignment="1">
      <alignment wrapText="1"/>
    </xf>
    <xf numFmtId="0" fontId="22" fillId="0" borderId="0" xfId="0" applyFont="1" applyAlignment="1">
      <alignment wrapText="1"/>
    </xf>
    <xf numFmtId="0" fontId="22" fillId="0" borderId="0" xfId="0" applyFont="1" applyAlignment="1" applyProtection="1">
      <alignment horizontal="left" vertical="center" wrapText="1"/>
      <protection locked="0"/>
    </xf>
    <xf numFmtId="2" fontId="23" fillId="0" borderId="11" xfId="0" applyNumberFormat="1" applyFont="1" applyBorder="1" applyAlignment="1">
      <alignment horizontal="center"/>
    </xf>
    <xf numFmtId="2" fontId="23" fillId="0" borderId="1" xfId="0" applyNumberFormat="1" applyFont="1" applyBorder="1" applyAlignment="1">
      <alignment horizontal="center"/>
    </xf>
    <xf numFmtId="0" fontId="66" fillId="0" borderId="0" xfId="0" applyFont="1"/>
    <xf numFmtId="0" fontId="67" fillId="0" borderId="0" xfId="0" applyFont="1"/>
    <xf numFmtId="0" fontId="3" fillId="5" borderId="25" xfId="0" applyFont="1" applyFill="1" applyBorder="1" applyAlignment="1">
      <alignment horizontal="left"/>
    </xf>
    <xf numFmtId="0" fontId="0" fillId="0" borderId="12" xfId="0" applyBorder="1" applyAlignment="1">
      <alignment horizontal="right"/>
    </xf>
    <xf numFmtId="0" fontId="3" fillId="5" borderId="1" xfId="0" quotePrefix="1" applyFont="1" applyFill="1" applyBorder="1" applyAlignment="1">
      <alignment horizontal="left"/>
    </xf>
    <xf numFmtId="0" fontId="3" fillId="5" borderId="25" xfId="0" quotePrefix="1" applyFont="1" applyFill="1" applyBorder="1" applyAlignment="1">
      <alignment horizontal="left"/>
    </xf>
    <xf numFmtId="0" fontId="41" fillId="0" borderId="0" xfId="0" applyFont="1" applyAlignment="1">
      <alignment horizontal="right"/>
    </xf>
    <xf numFmtId="41" fontId="22" fillId="0" borderId="0" xfId="0" applyNumberFormat="1" applyFont="1" applyAlignment="1" applyProtection="1">
      <alignment horizontal="left" vertical="center" wrapText="1"/>
      <protection locked="0"/>
    </xf>
    <xf numFmtId="43" fontId="3" fillId="0" borderId="30" xfId="1" applyFont="1" applyFill="1" applyBorder="1"/>
    <xf numFmtId="43" fontId="3" fillId="0" borderId="21" xfId="1" applyFont="1" applyFill="1" applyBorder="1" applyProtection="1">
      <protection locked="0"/>
    </xf>
    <xf numFmtId="0" fontId="3" fillId="0" borderId="20" xfId="0" applyFont="1" applyBorder="1" applyAlignment="1">
      <alignment horizontal="right" wrapText="1"/>
    </xf>
    <xf numFmtId="43" fontId="3" fillId="7" borderId="1" xfId="1" quotePrefix="1" applyFont="1" applyFill="1" applyBorder="1" applyAlignment="1" applyProtection="1">
      <alignment horizontal="center"/>
      <protection locked="0"/>
    </xf>
    <xf numFmtId="43" fontId="3" fillId="7" borderId="1" xfId="1" applyFont="1" applyFill="1" applyBorder="1" applyAlignment="1" applyProtection="1">
      <alignment horizontal="left"/>
      <protection locked="0"/>
    </xf>
    <xf numFmtId="43" fontId="3" fillId="0" borderId="21" xfId="1" applyFont="1" applyFill="1" applyBorder="1"/>
    <xf numFmtId="169" fontId="3" fillId="5" borderId="25" xfId="0" applyNumberFormat="1" applyFont="1" applyFill="1" applyBorder="1" applyAlignment="1">
      <alignment horizontal="left"/>
    </xf>
    <xf numFmtId="169" fontId="3" fillId="7" borderId="25" xfId="0" applyNumberFormat="1" applyFont="1" applyFill="1" applyBorder="1" applyAlignment="1">
      <alignment horizontal="left"/>
    </xf>
    <xf numFmtId="0" fontId="32" fillId="0" borderId="20" xfId="0" applyFont="1" applyBorder="1" applyAlignment="1">
      <alignment horizontal="center" vertical="center"/>
    </xf>
    <xf numFmtId="0" fontId="32" fillId="0" borderId="0" xfId="0" applyFont="1" applyAlignment="1">
      <alignment horizontal="center" vertical="center"/>
    </xf>
    <xf numFmtId="0" fontId="3" fillId="7" borderId="32" xfId="0" applyFont="1" applyFill="1" applyBorder="1" applyAlignment="1">
      <alignment horizontal="left"/>
    </xf>
    <xf numFmtId="0" fontId="68" fillId="9" borderId="31" xfId="0" applyFont="1" applyFill="1" applyBorder="1" applyAlignment="1">
      <alignment horizontal="center" vertical="center"/>
    </xf>
    <xf numFmtId="49" fontId="3" fillId="5" borderId="1" xfId="0" applyNumberFormat="1" applyFont="1" applyFill="1" applyBorder="1" applyAlignment="1">
      <alignment horizontal="left"/>
    </xf>
    <xf numFmtId="49" fontId="3" fillId="5" borderId="25" xfId="0" applyNumberFormat="1" applyFont="1" applyFill="1" applyBorder="1" applyAlignment="1">
      <alignment horizontal="left"/>
    </xf>
    <xf numFmtId="0" fontId="69" fillId="0" borderId="20" xfId="0" applyFont="1" applyBorder="1" applyAlignment="1">
      <alignment horizontal="right" vertical="center"/>
    </xf>
    <xf numFmtId="0" fontId="70" fillId="0" borderId="20" xfId="0" applyFont="1" applyBorder="1" applyAlignment="1">
      <alignment horizontal="right" vertical="center"/>
    </xf>
    <xf numFmtId="0" fontId="0" fillId="0" borderId="13" xfId="0" applyBorder="1" applyAlignment="1">
      <alignment horizontal="right" vertical="center"/>
    </xf>
    <xf numFmtId="0" fontId="0" fillId="5" borderId="25" xfId="0" quotePrefix="1" applyFill="1" applyBorder="1" applyAlignment="1" applyProtection="1">
      <alignment horizontal="left"/>
      <protection locked="0"/>
    </xf>
    <xf numFmtId="0" fontId="0" fillId="0" borderId="0" xfId="0" applyAlignment="1" applyProtection="1">
      <alignment horizontal="right"/>
      <protection locked="0"/>
    </xf>
    <xf numFmtId="0" fontId="3" fillId="0" borderId="23" xfId="0" applyFont="1" applyBorder="1" applyAlignment="1">
      <alignment horizontal="left"/>
    </xf>
    <xf numFmtId="0" fontId="3" fillId="0" borderId="24" xfId="0" applyFont="1" applyBorder="1" applyAlignment="1">
      <alignment horizontal="left"/>
    </xf>
    <xf numFmtId="0" fontId="3" fillId="0" borderId="33" xfId="0" applyFont="1" applyBorder="1" applyAlignment="1">
      <alignment horizontal="right" vertical="center"/>
    </xf>
    <xf numFmtId="0" fontId="3" fillId="0" borderId="26" xfId="0" applyFont="1" applyBorder="1" applyAlignment="1">
      <alignment horizontal="left"/>
    </xf>
    <xf numFmtId="0" fontId="3" fillId="0" borderId="34" xfId="0" applyFont="1" applyBorder="1" applyAlignment="1">
      <alignment horizontal="left"/>
    </xf>
    <xf numFmtId="0" fontId="14" fillId="0" borderId="20" xfId="0" applyFont="1" applyBorder="1" applyAlignment="1">
      <alignment horizontal="right"/>
    </xf>
    <xf numFmtId="0" fontId="3" fillId="0" borderId="14" xfId="0" applyFont="1" applyBorder="1" applyAlignment="1">
      <alignment horizontal="center"/>
    </xf>
    <xf numFmtId="0" fontId="0" fillId="0" borderId="33" xfId="0" applyBorder="1"/>
    <xf numFmtId="0" fontId="0" fillId="0" borderId="34" xfId="0" applyBorder="1"/>
    <xf numFmtId="0" fontId="3" fillId="0" borderId="0" xfId="0" applyFont="1" applyAlignment="1">
      <alignment horizontal="left"/>
    </xf>
    <xf numFmtId="0" fontId="36" fillId="0" borderId="0" xfId="0" applyFont="1" applyAlignment="1">
      <alignment vertical="center"/>
    </xf>
    <xf numFmtId="43" fontId="3" fillId="0" borderId="23" xfId="0" applyNumberFormat="1" applyFont="1" applyBorder="1" applyAlignment="1">
      <alignment horizontal="left"/>
    </xf>
    <xf numFmtId="0" fontId="3" fillId="5" borderId="1" xfId="0" applyFont="1" applyFill="1" applyBorder="1" applyAlignment="1" applyProtection="1">
      <alignment horizontal="right"/>
      <protection locked="0"/>
    </xf>
    <xf numFmtId="0" fontId="3" fillId="0" borderId="33" xfId="0" quotePrefix="1" applyFont="1" applyBorder="1" applyAlignment="1">
      <alignment horizontal="left" vertical="center"/>
    </xf>
    <xf numFmtId="0" fontId="68" fillId="9" borderId="35" xfId="0" applyFont="1" applyFill="1" applyBorder="1" applyAlignment="1">
      <alignment horizontal="center" vertical="center"/>
    </xf>
    <xf numFmtId="0" fontId="14" fillId="0" borderId="33" xfId="0" quotePrefix="1" applyFont="1" applyBorder="1"/>
    <xf numFmtId="0" fontId="3" fillId="0" borderId="30" xfId="0" applyFont="1" applyBorder="1" applyAlignment="1">
      <alignment horizontal="center"/>
    </xf>
    <xf numFmtId="0" fontId="3" fillId="0" borderId="26" xfId="0" applyFont="1" applyBorder="1" applyAlignment="1">
      <alignment horizontal="right" vertical="center"/>
    </xf>
    <xf numFmtId="0" fontId="3" fillId="0" borderId="26" xfId="0" applyFont="1" applyBorder="1" applyAlignment="1">
      <alignment horizontal="center"/>
    </xf>
    <xf numFmtId="0" fontId="3" fillId="0" borderId="34" xfId="0" applyFont="1" applyBorder="1" applyAlignment="1">
      <alignment horizontal="center"/>
    </xf>
    <xf numFmtId="0" fontId="5" fillId="0" borderId="0" xfId="0" applyFont="1" applyAlignment="1">
      <alignment horizontal="left"/>
    </xf>
    <xf numFmtId="170" fontId="0" fillId="5" borderId="25" xfId="0" quotePrefix="1" applyNumberFormat="1" applyFill="1" applyBorder="1" applyAlignment="1" applyProtection="1">
      <alignment horizontal="left"/>
      <protection locked="0"/>
    </xf>
    <xf numFmtId="170" fontId="3" fillId="5" borderId="1" xfId="0" quotePrefix="1" applyNumberFormat="1" applyFont="1" applyFill="1" applyBorder="1" applyAlignment="1">
      <alignment horizontal="left"/>
    </xf>
    <xf numFmtId="170" fontId="0" fillId="7" borderId="25" xfId="0" applyNumberFormat="1" applyFill="1" applyBorder="1" applyAlignment="1">
      <alignment horizontal="left"/>
    </xf>
    <xf numFmtId="49" fontId="0" fillId="0" borderId="13" xfId="0" applyNumberFormat="1" applyBorder="1" applyAlignment="1">
      <alignment horizontal="left"/>
    </xf>
    <xf numFmtId="43" fontId="0" fillId="0" borderId="1" xfId="1" applyFont="1" applyBorder="1" applyAlignment="1">
      <alignment horizontal="center"/>
    </xf>
    <xf numFmtId="43" fontId="3" fillId="0" borderId="1" xfId="1" applyFont="1" applyBorder="1" applyAlignment="1">
      <alignment horizontal="center"/>
    </xf>
    <xf numFmtId="0" fontId="12" fillId="0" borderId="13" xfId="0" applyFont="1" applyBorder="1"/>
    <xf numFmtId="167" fontId="3" fillId="0" borderId="0" xfId="0" applyNumberFormat="1" applyFont="1"/>
    <xf numFmtId="2" fontId="3" fillId="0" borderId="0" xfId="0" applyNumberFormat="1" applyFont="1"/>
    <xf numFmtId="0" fontId="3" fillId="0" borderId="12" xfId="0" applyFont="1" applyBorder="1" applyAlignment="1">
      <alignment horizontal="left" vertical="center"/>
    </xf>
    <xf numFmtId="0" fontId="44" fillId="0" borderId="0" xfId="0" applyFont="1" applyAlignment="1">
      <alignment horizontal="center"/>
    </xf>
    <xf numFmtId="4" fontId="41" fillId="0" borderId="0" xfId="0" applyNumberFormat="1" applyFont="1"/>
    <xf numFmtId="0" fontId="3" fillId="0" borderId="0" xfId="0" applyFont="1" applyAlignment="1">
      <alignment horizontal="left" wrapText="1"/>
    </xf>
    <xf numFmtId="0" fontId="3" fillId="0" borderId="20" xfId="0" applyFont="1" applyBorder="1" applyAlignment="1">
      <alignment horizontal="right"/>
    </xf>
    <xf numFmtId="0" fontId="3" fillId="0" borderId="0" xfId="0" applyFont="1" applyAlignment="1">
      <alignment horizontal="right"/>
    </xf>
    <xf numFmtId="43" fontId="3" fillId="8" borderId="9" xfId="0" applyNumberFormat="1" applyFont="1" applyFill="1" applyBorder="1" applyAlignment="1">
      <alignment horizontal="left"/>
    </xf>
    <xf numFmtId="0" fontId="3" fillId="8" borderId="10" xfId="0" applyFont="1" applyFill="1" applyBorder="1" applyAlignment="1">
      <alignment horizontal="left"/>
    </xf>
    <xf numFmtId="0" fontId="3" fillId="8" borderId="18" xfId="0" applyFont="1" applyFill="1" applyBorder="1" applyAlignment="1">
      <alignment horizontal="left"/>
    </xf>
    <xf numFmtId="0" fontId="65" fillId="0" borderId="20" xfId="0" applyFont="1" applyBorder="1" applyAlignment="1">
      <alignment horizontal="left" vertical="top"/>
    </xf>
    <xf numFmtId="0" fontId="65" fillId="0" borderId="0" xfId="0" applyFont="1" applyAlignment="1">
      <alignment horizontal="left" vertical="top"/>
    </xf>
    <xf numFmtId="0" fontId="65" fillId="0" borderId="21" xfId="0" applyFont="1" applyBorder="1" applyAlignment="1">
      <alignment horizontal="left" vertical="top"/>
    </xf>
    <xf numFmtId="43" fontId="3" fillId="8" borderId="9" xfId="0" applyNumberFormat="1" applyFont="1" applyFill="1" applyBorder="1" applyAlignment="1">
      <alignment horizontal="center"/>
    </xf>
    <xf numFmtId="43" fontId="3" fillId="8" borderId="10" xfId="0" applyNumberFormat="1" applyFont="1" applyFill="1" applyBorder="1" applyAlignment="1">
      <alignment horizontal="center"/>
    </xf>
    <xf numFmtId="43" fontId="3" fillId="8" borderId="18" xfId="0" applyNumberFormat="1" applyFont="1" applyFill="1" applyBorder="1" applyAlignment="1">
      <alignment horizontal="center"/>
    </xf>
    <xf numFmtId="0" fontId="3" fillId="5" borderId="9" xfId="0" applyFont="1" applyFill="1" applyBorder="1" applyAlignment="1" applyProtection="1">
      <alignment horizontal="left" vertical="center"/>
      <protection locked="0"/>
    </xf>
    <xf numFmtId="0" fontId="3" fillId="5" borderId="10" xfId="0" applyFont="1" applyFill="1" applyBorder="1" applyAlignment="1" applyProtection="1">
      <alignment horizontal="left" vertical="center"/>
      <protection locked="0"/>
    </xf>
    <xf numFmtId="0" fontId="3" fillId="5" borderId="18" xfId="0" applyFont="1" applyFill="1" applyBorder="1" applyAlignment="1" applyProtection="1">
      <alignment horizontal="left" vertical="center"/>
      <protection locked="0"/>
    </xf>
    <xf numFmtId="0" fontId="71" fillId="0" borderId="33" xfId="0" applyFont="1" applyBorder="1" applyAlignment="1">
      <alignment horizontal="left"/>
    </xf>
    <xf numFmtId="0" fontId="71" fillId="0" borderId="26" xfId="0" applyFont="1" applyBorder="1" applyAlignment="1">
      <alignment horizontal="left"/>
    </xf>
    <xf numFmtId="0" fontId="56" fillId="7" borderId="3" xfId="0" applyFont="1" applyFill="1" applyBorder="1" applyAlignment="1">
      <alignment horizontal="left" vertical="center"/>
    </xf>
    <xf numFmtId="0" fontId="56" fillId="7" borderId="19" xfId="0" applyFont="1" applyFill="1" applyBorder="1" applyAlignment="1">
      <alignment horizontal="left" vertical="center"/>
    </xf>
    <xf numFmtId="0" fontId="56" fillId="7" borderId="4" xfId="0" applyFont="1" applyFill="1" applyBorder="1" applyAlignment="1">
      <alignment horizontal="left" vertical="center"/>
    </xf>
    <xf numFmtId="0" fontId="0" fillId="0" borderId="0" xfId="0" applyAlignment="1">
      <alignment horizontal="center"/>
    </xf>
    <xf numFmtId="0" fontId="3" fillId="8" borderId="9" xfId="0" applyFont="1" applyFill="1" applyBorder="1" applyAlignment="1">
      <alignment horizontal="left"/>
    </xf>
    <xf numFmtId="0" fontId="0" fillId="5" borderId="1" xfId="0" applyFill="1" applyBorder="1" applyAlignment="1" applyProtection="1">
      <alignment horizontal="left"/>
      <protection locked="0"/>
    </xf>
    <xf numFmtId="43" fontId="0" fillId="5" borderId="1" xfId="1" applyFont="1" applyFill="1" applyBorder="1" applyAlignment="1" applyProtection="1">
      <alignment horizontal="center"/>
      <protection locked="0"/>
    </xf>
    <xf numFmtId="43" fontId="0" fillId="7" borderId="1" xfId="0" applyNumberFormat="1" applyFill="1" applyBorder="1" applyAlignment="1">
      <alignment horizontal="left"/>
    </xf>
    <xf numFmtId="0" fontId="0" fillId="7" borderId="1" xfId="0" applyFill="1" applyBorder="1" applyAlignment="1">
      <alignment horizontal="left"/>
    </xf>
    <xf numFmtId="43" fontId="3" fillId="7" borderId="9" xfId="0" applyNumberFormat="1" applyFont="1" applyFill="1" applyBorder="1" applyAlignment="1">
      <alignment horizontal="left"/>
    </xf>
    <xf numFmtId="0" fontId="3" fillId="7" borderId="10" xfId="0" applyFont="1" applyFill="1" applyBorder="1" applyAlignment="1">
      <alignment horizontal="left"/>
    </xf>
    <xf numFmtId="0" fontId="3" fillId="7" borderId="18" xfId="0" applyFont="1" applyFill="1" applyBorder="1" applyAlignment="1">
      <alignment horizontal="left"/>
    </xf>
    <xf numFmtId="0" fontId="0" fillId="0" borderId="20" xfId="0" applyBorder="1" applyAlignment="1">
      <alignment horizontal="right"/>
    </xf>
    <xf numFmtId="0" fontId="0" fillId="0" borderId="0" xfId="0" applyAlignment="1">
      <alignment horizontal="right"/>
    </xf>
    <xf numFmtId="43" fontId="0" fillId="8" borderId="9" xfId="0" applyNumberFormat="1" applyFill="1" applyBorder="1" applyAlignment="1">
      <alignment horizontal="left"/>
    </xf>
    <xf numFmtId="0" fontId="0" fillId="8" borderId="10" xfId="0" applyFill="1" applyBorder="1" applyAlignment="1">
      <alignment horizontal="left"/>
    </xf>
    <xf numFmtId="0" fontId="0" fillId="8" borderId="18" xfId="0" applyFill="1" applyBorder="1" applyAlignment="1">
      <alignment horizontal="left"/>
    </xf>
    <xf numFmtId="43" fontId="3" fillId="8" borderId="11" xfId="0" applyNumberFormat="1" applyFont="1" applyFill="1" applyBorder="1" applyAlignment="1">
      <alignment horizontal="center"/>
    </xf>
    <xf numFmtId="43" fontId="3" fillId="8" borderId="9" xfId="0" applyNumberFormat="1" applyFont="1" applyFill="1" applyBorder="1" applyAlignment="1">
      <alignment horizontal="left" vertical="center" wrapText="1"/>
    </xf>
    <xf numFmtId="43" fontId="3" fillId="8" borderId="10" xfId="0" applyNumberFormat="1" applyFont="1" applyFill="1" applyBorder="1" applyAlignment="1">
      <alignment horizontal="left" vertical="center" wrapText="1"/>
    </xf>
    <xf numFmtId="43" fontId="3" fillId="8" borderId="11" xfId="0" applyNumberFormat="1" applyFont="1" applyFill="1" applyBorder="1" applyAlignment="1">
      <alignment horizontal="left" vertical="center" wrapText="1"/>
    </xf>
    <xf numFmtId="0" fontId="3" fillId="0" borderId="20" xfId="0" applyFont="1" applyBorder="1" applyAlignment="1">
      <alignment horizontal="right" vertical="center"/>
    </xf>
    <xf numFmtId="0" fontId="3" fillId="0" borderId="13" xfId="0" applyFont="1" applyBorder="1" applyAlignment="1">
      <alignment horizontal="right" vertical="center"/>
    </xf>
    <xf numFmtId="0" fontId="3" fillId="0" borderId="0" xfId="0" applyFont="1" applyAlignment="1">
      <alignment horizontal="right" vertical="center"/>
    </xf>
    <xf numFmtId="43" fontId="3" fillId="8" borderId="1" xfId="0" applyNumberFormat="1" applyFont="1" applyFill="1" applyBorder="1" applyAlignment="1">
      <alignment horizontal="left"/>
    </xf>
    <xf numFmtId="0" fontId="3" fillId="8" borderId="1" xfId="0" applyFont="1" applyFill="1" applyBorder="1" applyAlignment="1">
      <alignment horizontal="left"/>
    </xf>
    <xf numFmtId="0" fontId="3" fillId="8" borderId="25" xfId="0" applyFont="1" applyFill="1" applyBorder="1" applyAlignment="1">
      <alignment horizontal="left"/>
    </xf>
    <xf numFmtId="43" fontId="3" fillId="8" borderId="1" xfId="0" applyNumberFormat="1" applyFont="1" applyFill="1" applyBorder="1" applyAlignment="1">
      <alignment horizontal="center"/>
    </xf>
    <xf numFmtId="0" fontId="3" fillId="8" borderId="1" xfId="0" applyFont="1" applyFill="1" applyBorder="1" applyAlignment="1">
      <alignment horizontal="center"/>
    </xf>
    <xf numFmtId="0" fontId="3" fillId="8" borderId="25" xfId="0" applyFont="1" applyFill="1" applyBorder="1" applyAlignment="1">
      <alignment horizontal="center"/>
    </xf>
    <xf numFmtId="43" fontId="3" fillId="8" borderId="18" xfId="0" applyNumberFormat="1" applyFont="1" applyFill="1" applyBorder="1" applyAlignment="1">
      <alignment horizontal="left" vertical="center" wrapText="1"/>
    </xf>
    <xf numFmtId="0" fontId="71" fillId="0" borderId="20" xfId="0" applyFont="1" applyBorder="1" applyAlignment="1">
      <alignment horizontal="left"/>
    </xf>
    <xf numFmtId="0" fontId="71" fillId="0" borderId="0" xfId="0" applyFont="1" applyAlignment="1">
      <alignment horizontal="left"/>
    </xf>
    <xf numFmtId="0" fontId="36" fillId="0" borderId="20" xfId="0" applyFont="1" applyBorder="1" applyAlignment="1">
      <alignment horizontal="left" vertical="center"/>
    </xf>
    <xf numFmtId="0" fontId="36" fillId="0" borderId="0" xfId="0" applyFont="1" applyAlignment="1">
      <alignment horizontal="left" vertical="center"/>
    </xf>
    <xf numFmtId="0" fontId="0" fillId="5" borderId="9" xfId="0" applyFill="1" applyBorder="1" applyAlignment="1">
      <alignment horizontal="left"/>
    </xf>
    <xf numFmtId="0" fontId="0" fillId="5" borderId="18" xfId="0" applyFill="1" applyBorder="1" applyAlignment="1">
      <alignment horizontal="left"/>
    </xf>
    <xf numFmtId="0" fontId="0" fillId="5" borderId="1" xfId="0" applyFill="1" applyBorder="1" applyAlignment="1">
      <alignment horizontal="left"/>
    </xf>
    <xf numFmtId="0" fontId="0" fillId="5" borderId="25" xfId="0" applyFill="1" applyBorder="1" applyAlignment="1">
      <alignment horizontal="left"/>
    </xf>
    <xf numFmtId="0" fontId="0" fillId="5" borderId="10" xfId="0" applyFill="1" applyBorder="1" applyAlignment="1">
      <alignment horizontal="left"/>
    </xf>
    <xf numFmtId="0" fontId="3" fillId="7" borderId="9" xfId="0" applyFont="1" applyFill="1" applyBorder="1" applyAlignment="1">
      <alignment horizontal="left"/>
    </xf>
    <xf numFmtId="0" fontId="3" fillId="0" borderId="0" xfId="0" applyFont="1" applyAlignment="1">
      <alignment horizontal="center"/>
    </xf>
    <xf numFmtId="0" fontId="57" fillId="0" borderId="0" xfId="0" applyFont="1" applyAlignment="1">
      <alignment horizontal="center" vertical="center"/>
    </xf>
    <xf numFmtId="0" fontId="58" fillId="0" borderId="0" xfId="0" applyFont="1" applyAlignment="1">
      <alignment horizontal="center" vertical="center"/>
    </xf>
    <xf numFmtId="0" fontId="50" fillId="0" borderId="0" xfId="0" applyFont="1" applyAlignment="1">
      <alignment horizontal="center" vertical="center"/>
    </xf>
    <xf numFmtId="0" fontId="59" fillId="0" borderId="0" xfId="0" applyFont="1" applyAlignment="1">
      <alignment horizontal="center" vertical="center"/>
    </xf>
    <xf numFmtId="0" fontId="0" fillId="0" borderId="0" xfId="0" applyAlignment="1">
      <alignment horizontal="left"/>
    </xf>
    <xf numFmtId="0" fontId="36" fillId="0" borderId="0" xfId="0" applyFont="1" applyAlignment="1">
      <alignment horizontal="center"/>
    </xf>
    <xf numFmtId="0" fontId="63" fillId="0" borderId="0" xfId="0" applyFont="1" applyAlignment="1">
      <alignment horizontal="center"/>
    </xf>
    <xf numFmtId="0" fontId="25" fillId="0" borderId="0" xfId="0" applyFont="1" applyAlignment="1">
      <alignment horizontal="center" vertical="center"/>
    </xf>
    <xf numFmtId="0" fontId="60" fillId="0" borderId="0" xfId="0" applyFont="1" applyAlignment="1">
      <alignment horizontal="center" vertical="center"/>
    </xf>
    <xf numFmtId="0" fontId="61" fillId="0" borderId="0" xfId="3" applyAlignment="1">
      <alignment horizontal="center"/>
    </xf>
    <xf numFmtId="0" fontId="34" fillId="6" borderId="1" xfId="0" applyFont="1" applyFill="1" applyBorder="1" applyAlignment="1">
      <alignment horizontal="center" vertical="center" wrapText="1"/>
    </xf>
    <xf numFmtId="0" fontId="34" fillId="6" borderId="9" xfId="0" applyFont="1" applyFill="1" applyBorder="1" applyAlignment="1">
      <alignment horizontal="center" vertical="center" wrapText="1"/>
    </xf>
    <xf numFmtId="0" fontId="34" fillId="0" borderId="9" xfId="0" applyFont="1" applyBorder="1" applyAlignment="1">
      <alignment horizontal="center" vertical="center" wrapText="1"/>
    </xf>
    <xf numFmtId="0" fontId="34" fillId="0" borderId="10" xfId="0" applyFont="1" applyBorder="1" applyAlignment="1">
      <alignment horizontal="center" vertical="center" wrapText="1"/>
    </xf>
    <xf numFmtId="0" fontId="34" fillId="0" borderId="14" xfId="0" applyFont="1" applyBorder="1" applyAlignment="1">
      <alignment horizontal="center" vertical="center" wrapText="1"/>
    </xf>
    <xf numFmtId="4" fontId="42" fillId="0" borderId="9" xfId="0" applyNumberFormat="1" applyFont="1" applyBorder="1" applyAlignment="1">
      <alignment horizontal="center" vertical="center" wrapText="1"/>
    </xf>
    <xf numFmtId="4" fontId="42" fillId="0" borderId="11" xfId="0" applyNumberFormat="1" applyFont="1" applyBorder="1" applyAlignment="1">
      <alignment horizontal="center" vertical="center" wrapText="1"/>
    </xf>
    <xf numFmtId="0" fontId="35" fillId="0" borderId="1" xfId="0" applyFont="1" applyBorder="1" applyAlignment="1">
      <alignment horizontal="center" vertical="center" wrapText="1"/>
    </xf>
    <xf numFmtId="41" fontId="35" fillId="0" borderId="1" xfId="0" applyNumberFormat="1" applyFont="1" applyBorder="1" applyAlignment="1">
      <alignment horizontal="center" vertical="center" wrapText="1"/>
    </xf>
    <xf numFmtId="3" fontId="35" fillId="0" borderId="9" xfId="0" applyNumberFormat="1" applyFont="1" applyBorder="1" applyAlignment="1">
      <alignment horizontal="center" vertical="center" wrapText="1"/>
    </xf>
    <xf numFmtId="2" fontId="35" fillId="0" borderId="1" xfId="0" applyNumberFormat="1" applyFont="1" applyBorder="1" applyAlignment="1">
      <alignment horizontal="center" vertical="center"/>
    </xf>
    <xf numFmtId="0" fontId="35" fillId="0" borderId="1" xfId="0" applyFont="1" applyBorder="1" applyAlignment="1">
      <alignment horizontal="center" vertical="center"/>
    </xf>
    <xf numFmtId="3" fontId="35" fillId="0" borderId="1" xfId="0" applyNumberFormat="1" applyFont="1" applyBorder="1" applyAlignment="1">
      <alignment horizontal="center" vertical="center" wrapText="1"/>
    </xf>
    <xf numFmtId="2" fontId="34" fillId="5" borderId="9" xfId="0" applyNumberFormat="1" applyFont="1" applyFill="1" applyBorder="1" applyAlignment="1">
      <alignment horizontal="center" vertical="center" wrapText="1"/>
    </xf>
    <xf numFmtId="2" fontId="34" fillId="5" borderId="11" xfId="0" applyNumberFormat="1" applyFont="1" applyFill="1" applyBorder="1" applyAlignment="1">
      <alignment horizontal="center" vertical="center" wrapText="1"/>
    </xf>
    <xf numFmtId="2" fontId="34" fillId="0" borderId="9" xfId="0" applyNumberFormat="1" applyFont="1" applyBorder="1" applyAlignment="1">
      <alignment horizontal="center" vertical="center" wrapText="1"/>
    </xf>
    <xf numFmtId="2" fontId="34" fillId="0" borderId="11" xfId="0" applyNumberFormat="1" applyFont="1" applyBorder="1" applyAlignment="1">
      <alignment horizontal="center" vertical="center" wrapText="1"/>
    </xf>
    <xf numFmtId="0" fontId="35" fillId="0" borderId="15" xfId="0" applyFont="1" applyBorder="1" applyAlignment="1">
      <alignment horizontal="center" vertical="center" wrapText="1"/>
    </xf>
    <xf numFmtId="0" fontId="35" fillId="0" borderId="16"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14" xfId="0" applyFont="1" applyBorder="1" applyAlignment="1">
      <alignment horizontal="center" vertical="center" wrapText="1"/>
    </xf>
    <xf numFmtId="0" fontId="41" fillId="0" borderId="0" xfId="0" applyFont="1" applyAlignment="1">
      <alignment horizontal="right"/>
    </xf>
    <xf numFmtId="0" fontId="41" fillId="0" borderId="0" xfId="0" applyFont="1" applyAlignment="1">
      <alignment horizontal="left"/>
    </xf>
    <xf numFmtId="0" fontId="41" fillId="0" borderId="0" xfId="0" applyFont="1" applyAlignment="1">
      <alignment horizontal="left" vertical="center" wrapText="1"/>
    </xf>
    <xf numFmtId="0" fontId="16" fillId="0" borderId="0" xfId="0" applyFont="1" applyAlignment="1">
      <alignment horizontal="center" vertical="center"/>
    </xf>
    <xf numFmtId="0" fontId="41" fillId="0" borderId="0" xfId="0" applyFont="1" applyAlignment="1">
      <alignment horizontal="left" wrapText="1"/>
    </xf>
    <xf numFmtId="0" fontId="37" fillId="0" borderId="0" xfId="0" applyFont="1" applyAlignment="1">
      <alignment horizontal="left" vertical="center"/>
    </xf>
    <xf numFmtId="0" fontId="13" fillId="0" borderId="0" xfId="0" applyFont="1" applyAlignment="1">
      <alignment horizontal="left" vertical="center"/>
    </xf>
    <xf numFmtId="0" fontId="5" fillId="0" borderId="0" xfId="0" applyFont="1" applyAlignment="1">
      <alignment horizontal="left"/>
    </xf>
    <xf numFmtId="0" fontId="6" fillId="0" borderId="9" xfId="0" applyFont="1" applyBorder="1" applyAlignment="1">
      <alignment horizontal="center"/>
    </xf>
    <xf numFmtId="0" fontId="6" fillId="0" borderId="10" xfId="0" applyFont="1" applyBorder="1" applyAlignment="1">
      <alignment horizontal="center"/>
    </xf>
    <xf numFmtId="0" fontId="6" fillId="0" borderId="11" xfId="0" applyFont="1" applyBorder="1" applyAlignment="1">
      <alignment horizontal="center"/>
    </xf>
    <xf numFmtId="0" fontId="3" fillId="5" borderId="1" xfId="0" applyFont="1" applyFill="1" applyBorder="1" applyAlignment="1">
      <alignment horizontal="center" vertical="center"/>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0" xfId="0" applyAlignment="1">
      <alignment horizontal="left" wrapText="1"/>
    </xf>
    <xf numFmtId="0" fontId="0" fillId="0" borderId="0" xfId="0" applyAlignment="1">
      <alignment horizontal="left" vertical="center" wrapText="1"/>
    </xf>
    <xf numFmtId="0" fontId="15" fillId="0" borderId="0" xfId="0" applyFont="1" applyAlignment="1">
      <alignment horizontal="left" vertical="center" wrapText="1"/>
    </xf>
    <xf numFmtId="0" fontId="12" fillId="0" borderId="0" xfId="0" applyFont="1" applyAlignment="1">
      <alignment horizontal="left" vertical="center" wrapText="1"/>
    </xf>
    <xf numFmtId="0" fontId="11" fillId="0" borderId="0" xfId="0" applyFont="1" applyAlignment="1">
      <alignment horizontal="left" vertical="center" wrapText="1"/>
    </xf>
    <xf numFmtId="0" fontId="11" fillId="0" borderId="0" xfId="0" applyFont="1" applyAlignment="1">
      <alignment horizontal="left" vertical="center"/>
    </xf>
    <xf numFmtId="0" fontId="11" fillId="0" borderId="0" xfId="0" applyFont="1" applyAlignment="1">
      <alignment horizontal="left"/>
    </xf>
    <xf numFmtId="0" fontId="39" fillId="0" borderId="1" xfId="0" applyFont="1" applyBorder="1" applyAlignment="1">
      <alignment horizontal="left" vertical="center" wrapText="1"/>
    </xf>
    <xf numFmtId="43" fontId="3" fillId="0" borderId="1" xfId="1" applyFont="1" applyFill="1" applyBorder="1" applyAlignment="1">
      <alignment horizontal="center" vertical="center"/>
    </xf>
    <xf numFmtId="0" fontId="3" fillId="0" borderId="1" xfId="0" applyFont="1" applyBorder="1" applyAlignment="1">
      <alignment horizontal="center" vertical="center"/>
    </xf>
    <xf numFmtId="0" fontId="3" fillId="5" borderId="9" xfId="0" applyFont="1" applyFill="1" applyBorder="1" applyAlignment="1">
      <alignment horizontal="center" vertical="center"/>
    </xf>
    <xf numFmtId="0" fontId="3" fillId="5" borderId="11" xfId="0" applyFont="1" applyFill="1" applyBorder="1" applyAlignment="1">
      <alignment horizontal="center" vertical="center"/>
    </xf>
    <xf numFmtId="43" fontId="3" fillId="0" borderId="0" xfId="1" applyFont="1" applyFill="1" applyBorder="1" applyAlignment="1">
      <alignment horizontal="center"/>
    </xf>
    <xf numFmtId="0" fontId="3" fillId="5" borderId="10" xfId="0" applyFont="1" applyFill="1" applyBorder="1" applyAlignment="1">
      <alignment horizontal="center" vertical="center"/>
    </xf>
    <xf numFmtId="1" fontId="3" fillId="0" borderId="1" xfId="0" applyNumberFormat="1" applyFont="1" applyBorder="1" applyAlignment="1">
      <alignment horizontal="center" vertical="center" wrapText="1"/>
    </xf>
    <xf numFmtId="0" fontId="3" fillId="0" borderId="1" xfId="0" applyFont="1" applyBorder="1" applyAlignment="1">
      <alignment horizontal="center" vertical="center" wrapText="1"/>
    </xf>
    <xf numFmtId="0" fontId="3" fillId="0" borderId="13" xfId="0" applyFont="1" applyBorder="1" applyAlignment="1">
      <alignment horizontal="center"/>
    </xf>
    <xf numFmtId="0" fontId="3" fillId="5" borderId="9" xfId="0" applyFont="1" applyFill="1" applyBorder="1" applyAlignment="1">
      <alignment horizontal="left" vertical="center"/>
    </xf>
    <xf numFmtId="0" fontId="3" fillId="5" borderId="10" xfId="0" applyFont="1" applyFill="1" applyBorder="1" applyAlignment="1">
      <alignment horizontal="left" vertical="center"/>
    </xf>
    <xf numFmtId="0" fontId="30" fillId="0" borderId="15" xfId="0" applyFont="1" applyBorder="1" applyAlignment="1">
      <alignment horizontal="left" vertical="center" wrapText="1"/>
    </xf>
    <xf numFmtId="0" fontId="30" fillId="0" borderId="16" xfId="0" applyFont="1" applyBorder="1" applyAlignment="1">
      <alignment horizontal="left" vertical="center" wrapText="1"/>
    </xf>
    <xf numFmtId="0" fontId="30" fillId="0" borderId="17" xfId="0" applyFont="1" applyBorder="1" applyAlignment="1">
      <alignment horizontal="left" vertical="center" wrapText="1"/>
    </xf>
    <xf numFmtId="0" fontId="30" fillId="0" borderId="5" xfId="0" applyFont="1" applyBorder="1" applyAlignment="1">
      <alignment horizontal="left" vertical="center" wrapText="1"/>
    </xf>
    <xf numFmtId="0" fontId="30" fillId="0" borderId="14" xfId="0" applyFont="1" applyBorder="1" applyAlignment="1">
      <alignment horizontal="left" vertical="center" wrapText="1"/>
    </xf>
    <xf numFmtId="0" fontId="30" fillId="0" borderId="6" xfId="0" applyFont="1" applyBorder="1" applyAlignment="1">
      <alignment horizontal="left" vertical="center" wrapText="1"/>
    </xf>
    <xf numFmtId="0" fontId="3" fillId="2" borderId="1" xfId="0" applyFont="1" applyFill="1" applyBorder="1" applyAlignment="1">
      <alignment horizontal="left" vertical="center" wrapText="1"/>
    </xf>
    <xf numFmtId="0" fontId="3" fillId="0" borderId="1" xfId="0" applyFont="1" applyBorder="1" applyAlignment="1">
      <alignment horizontal="center"/>
    </xf>
    <xf numFmtId="0" fontId="3" fillId="0" borderId="9" xfId="0" applyFont="1" applyBorder="1" applyAlignment="1">
      <alignment horizontal="center"/>
    </xf>
    <xf numFmtId="43" fontId="3" fillId="0" borderId="1" xfId="1" applyFont="1" applyFill="1" applyBorder="1" applyAlignment="1">
      <alignment horizontal="center"/>
    </xf>
    <xf numFmtId="0" fontId="0" fillId="0" borderId="9" xfId="0" applyBorder="1" applyAlignment="1">
      <alignment horizontal="left"/>
    </xf>
    <xf numFmtId="0" fontId="0" fillId="0" borderId="10" xfId="0" applyBorder="1" applyAlignment="1">
      <alignment horizontal="left"/>
    </xf>
    <xf numFmtId="43" fontId="0" fillId="0" borderId="1" xfId="1" applyFont="1" applyFill="1" applyBorder="1" applyAlignment="1">
      <alignment horizontal="right" wrapText="1"/>
    </xf>
    <xf numFmtId="43" fontId="0" fillId="0" borderId="9" xfId="1" applyFont="1" applyBorder="1" applyAlignment="1">
      <alignment horizontal="right"/>
    </xf>
    <xf numFmtId="43" fontId="0" fillId="0" borderId="10" xfId="1" applyFont="1" applyBorder="1" applyAlignment="1">
      <alignment horizontal="right"/>
    </xf>
    <xf numFmtId="43" fontId="0" fillId="0" borderId="11" xfId="1" applyFont="1" applyBorder="1" applyAlignment="1">
      <alignment horizontal="right"/>
    </xf>
    <xf numFmtId="43" fontId="0" fillId="0" borderId="1" xfId="1" applyFont="1" applyBorder="1" applyAlignment="1">
      <alignment horizontal="center" wrapText="1"/>
    </xf>
    <xf numFmtId="43" fontId="0" fillId="0" borderId="1" xfId="1" applyFont="1" applyFill="1" applyBorder="1" applyAlignment="1">
      <alignment horizontal="center" wrapText="1"/>
    </xf>
    <xf numFmtId="0" fontId="3" fillId="0" borderId="13" xfId="0" applyFont="1" applyBorder="1" applyAlignment="1">
      <alignment horizontal="left" wrapText="1"/>
    </xf>
    <xf numFmtId="0" fontId="3" fillId="0" borderId="12" xfId="0" applyFont="1" applyBorder="1" applyAlignment="1">
      <alignment horizontal="left" wrapText="1"/>
    </xf>
    <xf numFmtId="0" fontId="13" fillId="5" borderId="9" xfId="0" applyFont="1" applyFill="1" applyBorder="1" applyAlignment="1">
      <alignment horizontal="left"/>
    </xf>
    <xf numFmtId="0" fontId="13" fillId="5" borderId="10" xfId="0" applyFont="1" applyFill="1" applyBorder="1" applyAlignment="1">
      <alignment horizontal="left"/>
    </xf>
    <xf numFmtId="0" fontId="13" fillId="5" borderId="11" xfId="0" applyFont="1" applyFill="1" applyBorder="1" applyAlignment="1">
      <alignment horizontal="left"/>
    </xf>
    <xf numFmtId="0" fontId="3" fillId="0" borderId="5" xfId="0" applyFont="1" applyBorder="1" applyAlignment="1">
      <alignment horizontal="center"/>
    </xf>
    <xf numFmtId="0" fontId="3" fillId="0" borderId="14" xfId="0" applyFont="1" applyBorder="1" applyAlignment="1">
      <alignment horizontal="center"/>
    </xf>
    <xf numFmtId="0" fontId="3" fillId="0" borderId="6" xfId="0" applyFont="1" applyBorder="1" applyAlignment="1">
      <alignment horizontal="center"/>
    </xf>
    <xf numFmtId="0" fontId="3" fillId="0" borderId="15" xfId="0" applyFont="1" applyBorder="1" applyAlignment="1">
      <alignment horizontal="left" vertical="center"/>
    </xf>
    <xf numFmtId="0" fontId="3" fillId="0" borderId="16" xfId="0" applyFont="1" applyBorder="1" applyAlignment="1">
      <alignment horizontal="left" vertical="center"/>
    </xf>
    <xf numFmtId="41" fontId="3" fillId="0" borderId="0" xfId="0" applyNumberFormat="1" applyFont="1" applyAlignment="1">
      <alignment horizontal="left" vertical="center" wrapText="1"/>
    </xf>
    <xf numFmtId="0" fontId="3" fillId="0" borderId="0" xfId="0" applyFont="1" applyAlignment="1">
      <alignment horizontal="left" vertical="center" wrapText="1"/>
    </xf>
    <xf numFmtId="0" fontId="3" fillId="0" borderId="0" xfId="0" applyFont="1" applyAlignment="1">
      <alignment horizontal="right" vertical="center" wrapText="1"/>
    </xf>
    <xf numFmtId="0" fontId="0" fillId="0" borderId="12" xfId="0" applyBorder="1" applyAlignment="1">
      <alignment horizontal="left" vertical="center"/>
    </xf>
    <xf numFmtId="0" fontId="0" fillId="0" borderId="0" xfId="0" applyAlignment="1">
      <alignment horizontal="left" vertical="center"/>
    </xf>
    <xf numFmtId="0" fontId="3" fillId="2" borderId="0" xfId="0" applyFont="1" applyFill="1" applyAlignment="1">
      <alignment horizontal="left" vertical="center" wrapText="1"/>
    </xf>
    <xf numFmtId="0" fontId="3" fillId="2" borderId="13" xfId="0" applyFont="1" applyFill="1" applyBorder="1" applyAlignment="1">
      <alignment horizontal="left" vertical="center" wrapText="1"/>
    </xf>
    <xf numFmtId="0" fontId="0" fillId="0" borderId="13" xfId="0" applyBorder="1" applyAlignment="1">
      <alignment horizontal="left" vertical="center" wrapText="1"/>
    </xf>
    <xf numFmtId="41" fontId="3" fillId="0" borderId="13" xfId="0" applyNumberFormat="1" applyFont="1" applyBorder="1" applyAlignment="1">
      <alignment horizontal="left" vertical="center" wrapText="1"/>
    </xf>
    <xf numFmtId="0" fontId="14" fillId="2" borderId="0" xfId="0" applyFont="1" applyFill="1" applyAlignment="1">
      <alignment horizontal="left" wrapText="1"/>
    </xf>
    <xf numFmtId="0" fontId="14" fillId="5" borderId="9" xfId="0" applyFont="1" applyFill="1" applyBorder="1" applyAlignment="1">
      <alignment horizontal="left"/>
    </xf>
    <xf numFmtId="0" fontId="14" fillId="5" borderId="10" xfId="0" applyFont="1" applyFill="1" applyBorder="1" applyAlignment="1">
      <alignment horizontal="left"/>
    </xf>
    <xf numFmtId="0" fontId="14" fillId="5" borderId="11" xfId="0" applyFont="1" applyFill="1" applyBorder="1" applyAlignment="1">
      <alignment horizontal="left"/>
    </xf>
    <xf numFmtId="0" fontId="13" fillId="3" borderId="9" xfId="0" applyFont="1" applyFill="1" applyBorder="1" applyAlignment="1">
      <alignment horizontal="center" vertical="center" wrapText="1"/>
    </xf>
    <xf numFmtId="0" fontId="0" fillId="3" borderId="10" xfId="0" applyFill="1" applyBorder="1" applyAlignment="1">
      <alignment horizontal="center" vertical="center" wrapText="1"/>
    </xf>
    <xf numFmtId="0" fontId="0" fillId="3" borderId="11" xfId="0" applyFill="1" applyBorder="1" applyAlignment="1">
      <alignment horizontal="center" vertical="center" wrapText="1"/>
    </xf>
    <xf numFmtId="0" fontId="14" fillId="3" borderId="9" xfId="0" applyFont="1" applyFill="1" applyBorder="1" applyAlignment="1">
      <alignment wrapText="1"/>
    </xf>
    <xf numFmtId="0" fontId="0" fillId="3" borderId="11" xfId="0" applyFill="1" applyBorder="1" applyAlignment="1">
      <alignment wrapText="1"/>
    </xf>
    <xf numFmtId="0" fontId="11" fillId="2" borderId="15" xfId="0" applyFont="1" applyFill="1" applyBorder="1" applyAlignment="1">
      <alignment horizontal="center" vertical="center" wrapText="1"/>
    </xf>
    <xf numFmtId="0" fontId="0" fillId="0" borderId="17"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14" fillId="2" borderId="1" xfId="0" applyFont="1" applyFill="1" applyBorder="1"/>
    <xf numFmtId="0" fontId="13" fillId="5" borderId="9" xfId="0" applyFont="1" applyFill="1" applyBorder="1" applyAlignment="1">
      <alignment horizontal="center"/>
    </xf>
    <xf numFmtId="0" fontId="13" fillId="5" borderId="10" xfId="0" applyFont="1" applyFill="1" applyBorder="1" applyAlignment="1">
      <alignment horizontal="center"/>
    </xf>
    <xf numFmtId="0" fontId="13" fillId="5" borderId="11" xfId="0" applyFont="1" applyFill="1" applyBorder="1" applyAlignment="1">
      <alignment horizontal="center"/>
    </xf>
    <xf numFmtId="0" fontId="14" fillId="0" borderId="15" xfId="0" applyFont="1" applyBorder="1" applyAlignment="1">
      <alignment horizontal="justify" vertical="center" wrapText="1"/>
    </xf>
    <xf numFmtId="0" fontId="3" fillId="0" borderId="16" xfId="0" applyFont="1" applyBorder="1" applyAlignment="1">
      <alignment vertical="center" wrapText="1"/>
    </xf>
    <xf numFmtId="0" fontId="3" fillId="0" borderId="17" xfId="0" applyFont="1" applyBorder="1" applyAlignment="1">
      <alignment vertical="center" wrapText="1"/>
    </xf>
    <xf numFmtId="0" fontId="3" fillId="0" borderId="12" xfId="0" applyFont="1" applyBorder="1" applyAlignment="1">
      <alignment vertical="center" wrapText="1"/>
    </xf>
    <xf numFmtId="0" fontId="3" fillId="0" borderId="0" xfId="0" applyFont="1" applyAlignment="1">
      <alignment vertical="center" wrapText="1"/>
    </xf>
    <xf numFmtId="0" fontId="3" fillId="0" borderId="13" xfId="0" applyFont="1" applyBorder="1" applyAlignment="1">
      <alignment vertical="center" wrapText="1"/>
    </xf>
    <xf numFmtId="0" fontId="3" fillId="0" borderId="5" xfId="0" applyFont="1" applyBorder="1" applyAlignment="1">
      <alignment vertical="center" wrapText="1"/>
    </xf>
    <xf numFmtId="0" fontId="3" fillId="0" borderId="14" xfId="0" applyFont="1" applyBorder="1" applyAlignment="1">
      <alignment vertical="center" wrapText="1"/>
    </xf>
    <xf numFmtId="0" fontId="3" fillId="0" borderId="6" xfId="0" applyFont="1" applyBorder="1" applyAlignment="1">
      <alignment vertical="center" wrapText="1"/>
    </xf>
    <xf numFmtId="43" fontId="14" fillId="2" borderId="7" xfId="1" applyFont="1" applyFill="1" applyBorder="1" applyAlignment="1">
      <alignment horizontal="center"/>
    </xf>
    <xf numFmtId="43" fontId="14" fillId="2" borderId="8" xfId="1" applyFont="1" applyFill="1" applyBorder="1" applyAlignment="1">
      <alignment horizontal="center"/>
    </xf>
    <xf numFmtId="43" fontId="14" fillId="2" borderId="2" xfId="1" applyFont="1" applyFill="1" applyBorder="1" applyAlignment="1">
      <alignment horizontal="center"/>
    </xf>
    <xf numFmtId="0" fontId="11" fillId="0" borderId="9" xfId="0" applyFont="1" applyBorder="1" applyAlignment="1">
      <alignment horizontal="center"/>
    </xf>
    <xf numFmtId="0" fontId="11" fillId="0" borderId="10" xfId="0" applyFont="1" applyBorder="1" applyAlignment="1">
      <alignment horizontal="center"/>
    </xf>
    <xf numFmtId="0" fontId="11" fillId="0" borderId="11" xfId="0" applyFont="1"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14" fillId="2" borderId="1" xfId="0" applyFont="1" applyFill="1" applyBorder="1" applyAlignment="1">
      <alignment horizontal="left" vertical="center" wrapText="1"/>
    </xf>
    <xf numFmtId="0" fontId="14" fillId="2" borderId="9" xfId="0" applyFont="1" applyFill="1" applyBorder="1" applyAlignment="1">
      <alignment horizontal="left" vertical="center" wrapText="1"/>
    </xf>
    <xf numFmtId="0" fontId="14" fillId="2" borderId="10" xfId="0" applyFont="1" applyFill="1" applyBorder="1" applyAlignment="1">
      <alignment horizontal="left" vertical="center" wrapText="1"/>
    </xf>
    <xf numFmtId="0" fontId="14" fillId="2" borderId="11" xfId="0" applyFont="1" applyFill="1" applyBorder="1" applyAlignment="1">
      <alignment horizontal="left" vertical="center" wrapText="1"/>
    </xf>
    <xf numFmtId="0" fontId="44" fillId="0" borderId="0" xfId="0" applyFont="1" applyAlignment="1">
      <alignment horizontal="center"/>
    </xf>
    <xf numFmtId="0" fontId="46" fillId="0" borderId="0" xfId="0" applyFont="1" applyAlignment="1">
      <alignment horizontal="left" vertical="top" wrapText="1"/>
    </xf>
    <xf numFmtId="0" fontId="15" fillId="0" borderId="16" xfId="0" applyFont="1" applyBorder="1" applyAlignment="1">
      <alignment horizontal="center"/>
    </xf>
    <xf numFmtId="0" fontId="48" fillId="0" borderId="0" xfId="0" applyFont="1" applyAlignment="1">
      <alignment horizontal="center"/>
    </xf>
    <xf numFmtId="0" fontId="0" fillId="0" borderId="0" xfId="0" applyAlignment="1">
      <alignment horizontal="left" vertical="top" wrapText="1"/>
    </xf>
    <xf numFmtId="0" fontId="45" fillId="0" borderId="0" xfId="0" applyFont="1" applyAlignment="1">
      <alignment horizontal="left" wrapText="1"/>
    </xf>
    <xf numFmtId="0" fontId="15" fillId="0" borderId="0" xfId="0" applyFont="1" applyAlignment="1">
      <alignment horizontal="center" wrapText="1"/>
    </xf>
    <xf numFmtId="0" fontId="15" fillId="0" borderId="0" xfId="0" applyFont="1" applyAlignment="1">
      <alignment horizontal="center"/>
    </xf>
    <xf numFmtId="0" fontId="15" fillId="0" borderId="0" xfId="0" applyFont="1" applyAlignment="1">
      <alignment vertical="center" wrapText="1"/>
    </xf>
    <xf numFmtId="0" fontId="15" fillId="0" borderId="0" xfId="0" applyFont="1" applyAlignment="1">
      <alignment horizontal="left" wrapText="1"/>
    </xf>
    <xf numFmtId="0" fontId="23" fillId="0" borderId="0" xfId="0" applyFont="1" applyAlignment="1">
      <alignment horizontal="left" vertical="top" wrapText="1"/>
    </xf>
    <xf numFmtId="0" fontId="52" fillId="0" borderId="5" xfId="0" applyFont="1" applyBorder="1" applyAlignment="1">
      <alignment horizontal="left"/>
    </xf>
    <xf numFmtId="0" fontId="52" fillId="0" borderId="14" xfId="0" applyFont="1" applyBorder="1" applyAlignment="1">
      <alignment horizontal="left"/>
    </xf>
    <xf numFmtId="2" fontId="21" fillId="0" borderId="7" xfId="0" applyNumberFormat="1" applyFont="1" applyBorder="1" applyAlignment="1">
      <alignment horizontal="center" vertical="center" wrapText="1"/>
    </xf>
    <xf numFmtId="2" fontId="21" fillId="0" borderId="2" xfId="0" applyNumberFormat="1" applyFont="1" applyBorder="1" applyAlignment="1">
      <alignment horizontal="center" vertical="center" wrapText="1"/>
    </xf>
    <xf numFmtId="1" fontId="23" fillId="0" borderId="1" xfId="0" applyNumberFormat="1" applyFont="1" applyBorder="1" applyAlignment="1" applyProtection="1">
      <alignment horizontal="center" vertical="center" wrapText="1"/>
      <protection locked="0"/>
    </xf>
    <xf numFmtId="0" fontId="23" fillId="0" borderId="1" xfId="0" applyFont="1" applyBorder="1" applyAlignment="1">
      <alignment horizontal="center"/>
    </xf>
    <xf numFmtId="0" fontId="41" fillId="0" borderId="15" xfId="0" applyFont="1" applyBorder="1" applyAlignment="1">
      <alignment horizontal="left"/>
    </xf>
    <xf numFmtId="0" fontId="41" fillId="0" borderId="16" xfId="0" applyFont="1" applyBorder="1" applyAlignment="1">
      <alignment horizontal="left"/>
    </xf>
    <xf numFmtId="0" fontId="41" fillId="0" borderId="12" xfId="0" applyFont="1" applyBorder="1" applyAlignment="1">
      <alignment horizontal="left"/>
    </xf>
    <xf numFmtId="41" fontId="15" fillId="0" borderId="7" xfId="0" applyNumberFormat="1" applyFont="1" applyBorder="1" applyAlignment="1">
      <alignment horizontal="center" vertical="center" wrapText="1"/>
    </xf>
    <xf numFmtId="41" fontId="15" fillId="0" borderId="2" xfId="0" applyNumberFormat="1" applyFont="1" applyBorder="1" applyAlignment="1">
      <alignment horizontal="center" vertical="center" wrapText="1"/>
    </xf>
    <xf numFmtId="3" fontId="15" fillId="0" borderId="7" xfId="0" applyNumberFormat="1" applyFont="1" applyBorder="1" applyAlignment="1">
      <alignment horizontal="center" vertical="center" wrapText="1"/>
    </xf>
    <xf numFmtId="3" fontId="15" fillId="0" borderId="2" xfId="0" applyNumberFormat="1" applyFont="1" applyBorder="1" applyAlignment="1">
      <alignment horizontal="center" vertical="center" wrapText="1"/>
    </xf>
    <xf numFmtId="1" fontId="15" fillId="0" borderId="7" xfId="0" applyNumberFormat="1" applyFont="1" applyBorder="1" applyAlignment="1" applyProtection="1">
      <alignment horizontal="center" vertical="center" wrapText="1"/>
      <protection locked="0"/>
    </xf>
    <xf numFmtId="1" fontId="15" fillId="0" borderId="2" xfId="0" applyNumberFormat="1" applyFont="1" applyBorder="1" applyAlignment="1" applyProtection="1">
      <alignment horizontal="center" vertical="center" wrapText="1"/>
      <protection locked="0"/>
    </xf>
    <xf numFmtId="2" fontId="15" fillId="0" borderId="7" xfId="0" applyNumberFormat="1" applyFont="1" applyBorder="1" applyAlignment="1" applyProtection="1">
      <alignment horizontal="center" vertical="center" wrapText="1"/>
      <protection locked="0"/>
    </xf>
    <xf numFmtId="2" fontId="15" fillId="0" borderId="2" xfId="0" applyNumberFormat="1" applyFont="1" applyBorder="1" applyAlignment="1" applyProtection="1">
      <alignment horizontal="center" vertical="center" wrapText="1"/>
      <protection locked="0"/>
    </xf>
    <xf numFmtId="0" fontId="40" fillId="0" borderId="0" xfId="0" applyFont="1" applyAlignment="1">
      <alignment horizontal="left" wrapText="1"/>
    </xf>
    <xf numFmtId="0" fontId="40" fillId="0" borderId="0" xfId="0" applyFont="1" applyAlignment="1">
      <alignment horizontal="left" vertical="center" wrapText="1"/>
    </xf>
    <xf numFmtId="0" fontId="22" fillId="0" borderId="9" xfId="0" applyFont="1" applyBorder="1" applyAlignment="1">
      <alignment horizontal="center" vertical="center"/>
    </xf>
    <xf numFmtId="0" fontId="22" fillId="0" borderId="11" xfId="0" applyFont="1" applyBorder="1" applyAlignment="1">
      <alignment horizontal="center" vertical="center"/>
    </xf>
    <xf numFmtId="2" fontId="22" fillId="0" borderId="7" xfId="0" applyNumberFormat="1" applyFont="1" applyBorder="1" applyAlignment="1">
      <alignment horizontal="center" vertical="center"/>
    </xf>
    <xf numFmtId="2" fontId="22" fillId="0" borderId="8" xfId="0" applyNumberFormat="1" applyFont="1" applyBorder="1" applyAlignment="1">
      <alignment horizontal="center" vertical="center"/>
    </xf>
    <xf numFmtId="2" fontId="22" fillId="0" borderId="2" xfId="0" applyNumberFormat="1" applyFont="1" applyBorder="1" applyAlignment="1">
      <alignment horizontal="center" vertical="center"/>
    </xf>
    <xf numFmtId="0" fontId="22" fillId="0" borderId="9" xfId="0" applyFont="1" applyBorder="1" applyAlignment="1">
      <alignment horizontal="center"/>
    </xf>
    <xf numFmtId="0" fontId="29" fillId="0" borderId="10" xfId="0" applyFont="1" applyBorder="1" applyAlignment="1">
      <alignment horizontal="center"/>
    </xf>
    <xf numFmtId="0" fontId="29" fillId="0" borderId="11" xfId="0" applyFont="1" applyBorder="1" applyAlignment="1">
      <alignment horizontal="center"/>
    </xf>
    <xf numFmtId="0" fontId="23" fillId="5" borderId="9" xfId="0" applyFont="1" applyFill="1" applyBorder="1" applyAlignment="1">
      <alignment horizontal="center" vertical="center" wrapText="1"/>
    </xf>
    <xf numFmtId="0" fontId="23" fillId="5" borderId="11" xfId="0" applyFont="1" applyFill="1" applyBorder="1" applyAlignment="1">
      <alignment horizontal="center" vertical="center" wrapText="1"/>
    </xf>
    <xf numFmtId="0" fontId="23" fillId="5" borderId="10" xfId="0" applyFont="1" applyFill="1" applyBorder="1" applyAlignment="1">
      <alignment horizontal="center" vertical="center" wrapText="1"/>
    </xf>
    <xf numFmtId="0" fontId="23" fillId="5" borderId="18" xfId="0" applyFont="1" applyFill="1" applyBorder="1" applyAlignment="1">
      <alignment horizontal="center" vertical="center" wrapText="1"/>
    </xf>
    <xf numFmtId="0" fontId="23" fillId="5" borderId="7" xfId="0" applyFont="1" applyFill="1" applyBorder="1" applyAlignment="1">
      <alignment horizontal="center" vertical="center" wrapText="1"/>
    </xf>
    <xf numFmtId="0" fontId="23" fillId="5" borderId="2" xfId="0" applyFont="1" applyFill="1" applyBorder="1" applyAlignment="1">
      <alignment horizontal="center" vertical="center" wrapText="1"/>
    </xf>
  </cellXfs>
  <cellStyles count="4">
    <cellStyle name="Comma" xfId="1" builtinId="3"/>
    <cellStyle name="Comma 2" xfId="2"/>
    <cellStyle name="Hyperlink" xfId="3"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C141" lockText="1" noThreeD="1"/>
</file>

<file path=xl/ctrlProps/ctrlProp2.xml><?xml version="1.0" encoding="utf-8"?>
<formControlPr xmlns="http://schemas.microsoft.com/office/spreadsheetml/2009/9/main" objectType="CheckBox" checked="Checked" fmlaLink="C143" lockText="1" noThreeD="1"/>
</file>

<file path=xl/ctrlProps/ctrlProp3.xml><?xml version="1.0" encoding="utf-8"?>
<formControlPr xmlns="http://schemas.microsoft.com/office/spreadsheetml/2009/9/main" objectType="CheckBox" checked="Checked" fmlaLink="C145" lockText="1" noThreeD="1"/>
</file>

<file path=xl/ctrlProps/ctrlProp4.xml><?xml version="1.0" encoding="utf-8"?>
<formControlPr xmlns="http://schemas.microsoft.com/office/spreadsheetml/2009/9/main" objectType="CheckBox" checked="Checked" fmlaLink="C147" lockText="1" noThreeD="1"/>
</file>

<file path=xl/ctrlProps/ctrlProp5.xml><?xml version="1.0" encoding="utf-8"?>
<formControlPr xmlns="http://schemas.microsoft.com/office/spreadsheetml/2009/9/main" objectType="CheckBox" checked="Checked" fmlaLink="C149" lockText="1" noThreeD="1"/>
</file>

<file path=xl/ctrlProps/ctrlProp6.xml><?xml version="1.0" encoding="utf-8"?>
<formControlPr xmlns="http://schemas.microsoft.com/office/spreadsheetml/2009/9/main" objectType="CheckBox" checked="Checked" fmlaLink="C151" lockText="1" noThreeD="1"/>
</file>

<file path=xl/ctrlProps/ctrlProp7.xml><?xml version="1.0" encoding="utf-8"?>
<formControlPr xmlns="http://schemas.microsoft.com/office/spreadsheetml/2009/9/main" objectType="CheckBox" fmlaLink="C154" lockText="1" noThreeD="1"/>
</file>

<file path=xl/ctrlProps/ctrlProp8.xml><?xml version="1.0" encoding="utf-8"?>
<formControlPr xmlns="http://schemas.microsoft.com/office/spreadsheetml/2009/9/main" objectType="CheckBox" fmlaLink="C156" lockText="1" noThreeD="1"/>
</file>

<file path=xl/ctrlProps/ctrlProp9.xml><?xml version="1.0" encoding="utf-8"?>
<formControlPr xmlns="http://schemas.microsoft.com/office/spreadsheetml/2009/9/main" objectType="CheckBox" fmlaLink="C158" lockText="1" noThreeD="1"/>
</file>

<file path=xl/ctrlProps/ctrlProp10.xml><?xml version="1.0" encoding="utf-8"?>
<formControlPr xmlns="http://schemas.microsoft.com/office/spreadsheetml/2009/9/main" objectType="CheckBox" fmlaLink="C160" lockText="1" noThreeD="1"/>
</file>

<file path=xl/ctrlProps/ctrlProp11.xml><?xml version="1.0" encoding="utf-8"?>
<formControlPr xmlns="http://schemas.microsoft.com/office/spreadsheetml/2009/9/main" objectType="CheckBox" fmlaLink="C162" lockText="1" noThreeD="1"/>
</file>

<file path=xl/ctrlProps/ctrlProp12.xml><?xml version="1.0" encoding="utf-8"?>
<formControlPr xmlns="http://schemas.microsoft.com/office/spreadsheetml/2009/9/main" objectType="CheckBox" fmlaLink="C164" lockText="1" noThreeD="1"/>
</file>

<file path=xl/ctrlProps/ctrlProp13.xml><?xml version="1.0" encoding="utf-8"?>
<formControlPr xmlns="http://schemas.microsoft.com/office/spreadsheetml/2009/9/main" objectType="CheckBox" fmlaLink="C166" lockText="1" noThreeD="1"/>
</file>

<file path=xl/ctrlProps/ctrlProp14.xml><?xml version="1.0" encoding="utf-8"?>
<formControlPr xmlns="http://schemas.microsoft.com/office/spreadsheetml/2009/9/main" objectType="CheckBox" fmlaLink="C168" lockText="1" noThreeD="1"/>
</file>

<file path=xl/ctrlProps/ctrlProp15.xml><?xml version="1.0" encoding="utf-8"?>
<formControlPr xmlns="http://schemas.microsoft.com/office/spreadsheetml/2009/9/main" objectType="CheckBox" fmlaLink="C170" lockText="1" noThreeD="1"/>
</file>

<file path=xl/ctrlProps/ctrlProp16.xml><?xml version="1.0" encoding="utf-8"?>
<formControlPr xmlns="http://schemas.microsoft.com/office/spreadsheetml/2009/9/main" objectType="CheckBox" fmlaLink="C172"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139</xdr:row>
          <xdr:rowOff>209550</xdr:rowOff>
        </xdr:from>
        <xdr:to>
          <xdr:col>2</xdr:col>
          <xdr:colOff>742950</xdr:colOff>
          <xdr:row>141</xdr:row>
          <xdr:rowOff>19050</xdr:rowOff>
        </xdr:to>
        <xdr:sp macro="" textlink="">
          <xdr:nvSpPr>
            <xdr:cNvPr id="20481" name="Check Box 1" hidden="1">
              <a:extLst>
                <a:ext uri="{63B3BB69-23CF-44E3-9099-C40C66FF867C}">
                  <a14:compatExt spid="_x0000_s20481"/>
                </a:ext>
                <a:ext uri="{FF2B5EF4-FFF2-40B4-BE49-F238E27FC236}">
                  <a16:creationId xmlns:a16="http://schemas.microsoft.com/office/drawing/2014/main" xmlns="" id="{00000000-0008-0000-01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141</xdr:row>
          <xdr:rowOff>171450</xdr:rowOff>
        </xdr:from>
        <xdr:to>
          <xdr:col>2</xdr:col>
          <xdr:colOff>742950</xdr:colOff>
          <xdr:row>143</xdr:row>
          <xdr:rowOff>28575</xdr:rowOff>
        </xdr:to>
        <xdr:sp macro="" textlink="">
          <xdr:nvSpPr>
            <xdr:cNvPr id="20482" name="Check Box 2" hidden="1">
              <a:extLst>
                <a:ext uri="{63B3BB69-23CF-44E3-9099-C40C66FF867C}">
                  <a14:compatExt spid="_x0000_s20482"/>
                </a:ext>
                <a:ext uri="{FF2B5EF4-FFF2-40B4-BE49-F238E27FC236}">
                  <a16:creationId xmlns:a16="http://schemas.microsoft.com/office/drawing/2014/main" xmlns="" id="{00000000-0008-0000-01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143</xdr:row>
          <xdr:rowOff>161925</xdr:rowOff>
        </xdr:from>
        <xdr:to>
          <xdr:col>2</xdr:col>
          <xdr:colOff>752475</xdr:colOff>
          <xdr:row>145</xdr:row>
          <xdr:rowOff>28575</xdr:rowOff>
        </xdr:to>
        <xdr:sp macro="" textlink="">
          <xdr:nvSpPr>
            <xdr:cNvPr id="20483" name="Check Box 3" hidden="1">
              <a:extLst>
                <a:ext uri="{63B3BB69-23CF-44E3-9099-C40C66FF867C}">
                  <a14:compatExt spid="_x0000_s20483"/>
                </a:ext>
                <a:ext uri="{FF2B5EF4-FFF2-40B4-BE49-F238E27FC236}">
                  <a16:creationId xmlns:a16="http://schemas.microsoft.com/office/drawing/2014/main" xmlns="" id="{00000000-0008-0000-0100-00000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145</xdr:row>
          <xdr:rowOff>171450</xdr:rowOff>
        </xdr:from>
        <xdr:to>
          <xdr:col>2</xdr:col>
          <xdr:colOff>752475</xdr:colOff>
          <xdr:row>147</xdr:row>
          <xdr:rowOff>28575</xdr:rowOff>
        </xdr:to>
        <xdr:sp macro="" textlink="">
          <xdr:nvSpPr>
            <xdr:cNvPr id="20484" name="Check Box 4" hidden="1">
              <a:extLst>
                <a:ext uri="{63B3BB69-23CF-44E3-9099-C40C66FF867C}">
                  <a14:compatExt spid="_x0000_s20484"/>
                </a:ext>
                <a:ext uri="{FF2B5EF4-FFF2-40B4-BE49-F238E27FC236}">
                  <a16:creationId xmlns:a16="http://schemas.microsoft.com/office/drawing/2014/main" xmlns="" id="{00000000-0008-0000-0100-00000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147</xdr:row>
          <xdr:rowOff>171450</xdr:rowOff>
        </xdr:from>
        <xdr:to>
          <xdr:col>2</xdr:col>
          <xdr:colOff>752475</xdr:colOff>
          <xdr:row>149</xdr:row>
          <xdr:rowOff>28575</xdr:rowOff>
        </xdr:to>
        <xdr:sp macro="" textlink="">
          <xdr:nvSpPr>
            <xdr:cNvPr id="20485" name="Check Box 5" hidden="1">
              <a:extLst>
                <a:ext uri="{63B3BB69-23CF-44E3-9099-C40C66FF867C}">
                  <a14:compatExt spid="_x0000_s20485"/>
                </a:ext>
                <a:ext uri="{FF2B5EF4-FFF2-40B4-BE49-F238E27FC236}">
                  <a16:creationId xmlns:a16="http://schemas.microsoft.com/office/drawing/2014/main" xmlns="" id="{00000000-0008-0000-0100-00000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149</xdr:row>
          <xdr:rowOff>171450</xdr:rowOff>
        </xdr:from>
        <xdr:to>
          <xdr:col>2</xdr:col>
          <xdr:colOff>752475</xdr:colOff>
          <xdr:row>151</xdr:row>
          <xdr:rowOff>28575</xdr:rowOff>
        </xdr:to>
        <xdr:sp macro="" textlink="">
          <xdr:nvSpPr>
            <xdr:cNvPr id="20486" name="Check Box 6" hidden="1">
              <a:extLst>
                <a:ext uri="{63B3BB69-23CF-44E3-9099-C40C66FF867C}">
                  <a14:compatExt spid="_x0000_s20486"/>
                </a:ext>
                <a:ext uri="{FF2B5EF4-FFF2-40B4-BE49-F238E27FC236}">
                  <a16:creationId xmlns:a16="http://schemas.microsoft.com/office/drawing/2014/main" xmlns="" id="{00000000-0008-0000-0100-00000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152</xdr:row>
          <xdr:rowOff>209550</xdr:rowOff>
        </xdr:from>
        <xdr:to>
          <xdr:col>2</xdr:col>
          <xdr:colOff>752475</xdr:colOff>
          <xdr:row>154</xdr:row>
          <xdr:rowOff>19050</xdr:rowOff>
        </xdr:to>
        <xdr:sp macro="" textlink="">
          <xdr:nvSpPr>
            <xdr:cNvPr id="20487" name="Check Box 7" hidden="1">
              <a:extLst>
                <a:ext uri="{63B3BB69-23CF-44E3-9099-C40C66FF867C}">
                  <a14:compatExt spid="_x0000_s20487"/>
                </a:ext>
                <a:ext uri="{FF2B5EF4-FFF2-40B4-BE49-F238E27FC236}">
                  <a16:creationId xmlns:a16="http://schemas.microsoft.com/office/drawing/2014/main" xmlns="" id="{00000000-0008-0000-0100-00000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154</xdr:row>
          <xdr:rowOff>171450</xdr:rowOff>
        </xdr:from>
        <xdr:to>
          <xdr:col>2</xdr:col>
          <xdr:colOff>752475</xdr:colOff>
          <xdr:row>156</xdr:row>
          <xdr:rowOff>28575</xdr:rowOff>
        </xdr:to>
        <xdr:sp macro="" textlink="">
          <xdr:nvSpPr>
            <xdr:cNvPr id="20488" name="Check Box 8" hidden="1">
              <a:extLst>
                <a:ext uri="{63B3BB69-23CF-44E3-9099-C40C66FF867C}">
                  <a14:compatExt spid="_x0000_s20488"/>
                </a:ext>
                <a:ext uri="{FF2B5EF4-FFF2-40B4-BE49-F238E27FC236}">
                  <a16:creationId xmlns:a16="http://schemas.microsoft.com/office/drawing/2014/main" xmlns="" id="{00000000-0008-0000-0100-00000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156</xdr:row>
          <xdr:rowOff>171450</xdr:rowOff>
        </xdr:from>
        <xdr:to>
          <xdr:col>2</xdr:col>
          <xdr:colOff>752475</xdr:colOff>
          <xdr:row>158</xdr:row>
          <xdr:rowOff>28575</xdr:rowOff>
        </xdr:to>
        <xdr:sp macro="" textlink="">
          <xdr:nvSpPr>
            <xdr:cNvPr id="20489" name="Check Box 9" hidden="1">
              <a:extLst>
                <a:ext uri="{63B3BB69-23CF-44E3-9099-C40C66FF867C}">
                  <a14:compatExt spid="_x0000_s20489"/>
                </a:ext>
                <a:ext uri="{FF2B5EF4-FFF2-40B4-BE49-F238E27FC236}">
                  <a16:creationId xmlns:a16="http://schemas.microsoft.com/office/drawing/2014/main" xmlns="" id="{00000000-0008-0000-0100-00000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158</xdr:row>
          <xdr:rowOff>171450</xdr:rowOff>
        </xdr:from>
        <xdr:to>
          <xdr:col>2</xdr:col>
          <xdr:colOff>752475</xdr:colOff>
          <xdr:row>160</xdr:row>
          <xdr:rowOff>28575</xdr:rowOff>
        </xdr:to>
        <xdr:sp macro="" textlink="">
          <xdr:nvSpPr>
            <xdr:cNvPr id="20490" name="Check Box 10" hidden="1">
              <a:extLst>
                <a:ext uri="{63B3BB69-23CF-44E3-9099-C40C66FF867C}">
                  <a14:compatExt spid="_x0000_s20490"/>
                </a:ext>
                <a:ext uri="{FF2B5EF4-FFF2-40B4-BE49-F238E27FC236}">
                  <a16:creationId xmlns:a16="http://schemas.microsoft.com/office/drawing/2014/main" xmlns="" id="{00000000-0008-0000-0100-00000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160</xdr:row>
          <xdr:rowOff>171450</xdr:rowOff>
        </xdr:from>
        <xdr:to>
          <xdr:col>2</xdr:col>
          <xdr:colOff>742950</xdr:colOff>
          <xdr:row>162</xdr:row>
          <xdr:rowOff>28575</xdr:rowOff>
        </xdr:to>
        <xdr:sp macro="" textlink="">
          <xdr:nvSpPr>
            <xdr:cNvPr id="20491" name="Check Box 11" hidden="1">
              <a:extLst>
                <a:ext uri="{63B3BB69-23CF-44E3-9099-C40C66FF867C}">
                  <a14:compatExt spid="_x0000_s20491"/>
                </a:ext>
                <a:ext uri="{FF2B5EF4-FFF2-40B4-BE49-F238E27FC236}">
                  <a16:creationId xmlns:a16="http://schemas.microsoft.com/office/drawing/2014/main" xmlns="" id="{00000000-0008-0000-0100-00000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162</xdr:row>
          <xdr:rowOff>171450</xdr:rowOff>
        </xdr:from>
        <xdr:to>
          <xdr:col>2</xdr:col>
          <xdr:colOff>752475</xdr:colOff>
          <xdr:row>164</xdr:row>
          <xdr:rowOff>28575</xdr:rowOff>
        </xdr:to>
        <xdr:sp macro="" textlink="">
          <xdr:nvSpPr>
            <xdr:cNvPr id="20492" name="Check Box 12" hidden="1">
              <a:extLst>
                <a:ext uri="{63B3BB69-23CF-44E3-9099-C40C66FF867C}">
                  <a14:compatExt spid="_x0000_s20492"/>
                </a:ext>
                <a:ext uri="{FF2B5EF4-FFF2-40B4-BE49-F238E27FC236}">
                  <a16:creationId xmlns:a16="http://schemas.microsoft.com/office/drawing/2014/main" xmlns="" id="{00000000-0008-0000-0100-00000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164</xdr:row>
          <xdr:rowOff>171450</xdr:rowOff>
        </xdr:from>
        <xdr:to>
          <xdr:col>2</xdr:col>
          <xdr:colOff>752475</xdr:colOff>
          <xdr:row>166</xdr:row>
          <xdr:rowOff>28575</xdr:rowOff>
        </xdr:to>
        <xdr:sp macro="" textlink="">
          <xdr:nvSpPr>
            <xdr:cNvPr id="20493" name="Check Box 13" hidden="1">
              <a:extLst>
                <a:ext uri="{63B3BB69-23CF-44E3-9099-C40C66FF867C}">
                  <a14:compatExt spid="_x0000_s20493"/>
                </a:ext>
                <a:ext uri="{FF2B5EF4-FFF2-40B4-BE49-F238E27FC236}">
                  <a16:creationId xmlns:a16="http://schemas.microsoft.com/office/drawing/2014/main" xmlns="" id="{00000000-0008-0000-0100-00000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166</xdr:row>
          <xdr:rowOff>171450</xdr:rowOff>
        </xdr:from>
        <xdr:to>
          <xdr:col>2</xdr:col>
          <xdr:colOff>742950</xdr:colOff>
          <xdr:row>168</xdr:row>
          <xdr:rowOff>28575</xdr:rowOff>
        </xdr:to>
        <xdr:sp macro="" textlink="">
          <xdr:nvSpPr>
            <xdr:cNvPr id="20494" name="Check Box 14" hidden="1">
              <a:extLst>
                <a:ext uri="{63B3BB69-23CF-44E3-9099-C40C66FF867C}">
                  <a14:compatExt spid="_x0000_s20494"/>
                </a:ext>
                <a:ext uri="{FF2B5EF4-FFF2-40B4-BE49-F238E27FC236}">
                  <a16:creationId xmlns:a16="http://schemas.microsoft.com/office/drawing/2014/main" xmlns="" id="{00000000-0008-0000-0100-00000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168</xdr:row>
          <xdr:rowOff>171450</xdr:rowOff>
        </xdr:from>
        <xdr:to>
          <xdr:col>2</xdr:col>
          <xdr:colOff>742950</xdr:colOff>
          <xdr:row>170</xdr:row>
          <xdr:rowOff>28575</xdr:rowOff>
        </xdr:to>
        <xdr:sp macro="" textlink="">
          <xdr:nvSpPr>
            <xdr:cNvPr id="20495" name="Check Box 15" hidden="1">
              <a:extLst>
                <a:ext uri="{63B3BB69-23CF-44E3-9099-C40C66FF867C}">
                  <a14:compatExt spid="_x0000_s20495"/>
                </a:ext>
                <a:ext uri="{FF2B5EF4-FFF2-40B4-BE49-F238E27FC236}">
                  <a16:creationId xmlns:a16="http://schemas.microsoft.com/office/drawing/2014/main" xmlns="" id="{00000000-0008-0000-0100-00000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170</xdr:row>
          <xdr:rowOff>171450</xdr:rowOff>
        </xdr:from>
        <xdr:to>
          <xdr:col>2</xdr:col>
          <xdr:colOff>752475</xdr:colOff>
          <xdr:row>172</xdr:row>
          <xdr:rowOff>28575</xdr:rowOff>
        </xdr:to>
        <xdr:sp macro="" textlink="">
          <xdr:nvSpPr>
            <xdr:cNvPr id="20496" name="Check Box 16" hidden="1">
              <a:extLst>
                <a:ext uri="{63B3BB69-23CF-44E3-9099-C40C66FF867C}">
                  <a14:compatExt spid="_x0000_s20496"/>
                </a:ext>
                <a:ext uri="{FF2B5EF4-FFF2-40B4-BE49-F238E27FC236}">
                  <a16:creationId xmlns:a16="http://schemas.microsoft.com/office/drawing/2014/main" xmlns="" id="{00000000-0008-0000-0100-00001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588065</xdr:colOff>
      <xdr:row>31</xdr:row>
      <xdr:rowOff>157370</xdr:rowOff>
    </xdr:from>
    <xdr:to>
      <xdr:col>7</xdr:col>
      <xdr:colOff>32302</xdr:colOff>
      <xdr:row>37</xdr:row>
      <xdr:rowOff>33545</xdr:rowOff>
    </xdr:to>
    <xdr:pic>
      <xdr:nvPicPr>
        <xdr:cNvPr id="2" name="Picture 1">
          <a:extLst>
            <a:ext uri="{FF2B5EF4-FFF2-40B4-BE49-F238E27FC236}">
              <a16:creationId xmlns:a16="http://schemas.microsoft.com/office/drawing/2014/main" xmlns="" id="{B3918825-F5E2-2549-D863-C3376DAC1B1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39717" y="6485283"/>
          <a:ext cx="1282976"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11</xdr:col>
      <xdr:colOff>0</xdr:colOff>
      <xdr:row>46</xdr:row>
      <xdr:rowOff>16565</xdr:rowOff>
    </xdr:to>
    <xdr:sp macro="" textlink="">
      <xdr:nvSpPr>
        <xdr:cNvPr id="3" name="Rectangle 2">
          <a:extLst>
            <a:ext uri="{FF2B5EF4-FFF2-40B4-BE49-F238E27FC236}">
              <a16:creationId xmlns:a16="http://schemas.microsoft.com/office/drawing/2014/main" xmlns="" id="{9B46E854-FFF9-1687-0016-80E7D04378F8}"/>
            </a:ext>
          </a:extLst>
        </xdr:cNvPr>
        <xdr:cNvSpPr/>
      </xdr:nvSpPr>
      <xdr:spPr>
        <a:xfrm>
          <a:off x="0" y="0"/>
          <a:ext cx="6443870" cy="9665804"/>
        </a:xfrm>
        <a:prstGeom prst="rect">
          <a:avLst/>
        </a:prstGeom>
        <a:noFill/>
        <a:effectLst>
          <a:glow rad="101600">
            <a:schemeClr val="bg1">
              <a:alpha val="40000"/>
            </a:schemeClr>
          </a:glow>
          <a:outerShdw blurRad="50800" sx="101000" sy="101000" algn="ctr" rotWithShape="0">
            <a:schemeClr val="tx1">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114301</xdr:colOff>
      <xdr:row>4</xdr:row>
      <xdr:rowOff>135256</xdr:rowOff>
    </xdr:from>
    <xdr:to>
      <xdr:col>1</xdr:col>
      <xdr:colOff>171451</xdr:colOff>
      <xdr:row>4</xdr:row>
      <xdr:rowOff>180975</xdr:rowOff>
    </xdr:to>
    <xdr:sp macro="" textlink="">
      <xdr:nvSpPr>
        <xdr:cNvPr id="2" name="Right Arrow 1">
          <a:extLst>
            <a:ext uri="{FF2B5EF4-FFF2-40B4-BE49-F238E27FC236}">
              <a16:creationId xmlns:a16="http://schemas.microsoft.com/office/drawing/2014/main" xmlns="" id="{00000000-0008-0000-0400-000002000000}"/>
            </a:ext>
          </a:extLst>
        </xdr:cNvPr>
        <xdr:cNvSpPr/>
      </xdr:nvSpPr>
      <xdr:spPr>
        <a:xfrm flipV="1">
          <a:off x="533401" y="1583056"/>
          <a:ext cx="571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cp</a:t>
          </a:r>
        </a:p>
        <a:p>
          <a:pPr algn="ctr"/>
          <a:endParaRPr lang="en-US" sz="1100"/>
        </a:p>
      </xdr:txBody>
    </xdr:sp>
    <xdr:clientData/>
  </xdr:twoCellAnchor>
  <xdr:twoCellAnchor>
    <xdr:from>
      <xdr:col>1</xdr:col>
      <xdr:colOff>120015</xdr:colOff>
      <xdr:row>6</xdr:row>
      <xdr:rowOff>167640</xdr:rowOff>
    </xdr:from>
    <xdr:to>
      <xdr:col>1</xdr:col>
      <xdr:colOff>177165</xdr:colOff>
      <xdr:row>6</xdr:row>
      <xdr:rowOff>213359</xdr:rowOff>
    </xdr:to>
    <xdr:sp macro="" textlink="">
      <xdr:nvSpPr>
        <xdr:cNvPr id="15" name="Right Arrow 14">
          <a:extLst>
            <a:ext uri="{FF2B5EF4-FFF2-40B4-BE49-F238E27FC236}">
              <a16:creationId xmlns:a16="http://schemas.microsoft.com/office/drawing/2014/main" xmlns="" id="{00000000-0008-0000-0400-00000F000000}"/>
            </a:ext>
          </a:extLst>
        </xdr:cNvPr>
        <xdr:cNvSpPr/>
      </xdr:nvSpPr>
      <xdr:spPr>
        <a:xfrm flipV="1">
          <a:off x="561975" y="2545080"/>
          <a:ext cx="571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cp</a:t>
          </a:r>
        </a:p>
        <a:p>
          <a:pPr algn="ctr"/>
          <a:endParaRPr lang="en-US" sz="1100"/>
        </a:p>
      </xdr:txBody>
    </xdr:sp>
    <xdr:clientData/>
  </xdr:twoCellAnchor>
  <xdr:twoCellAnchor>
    <xdr:from>
      <xdr:col>1</xdr:col>
      <xdr:colOff>114300</xdr:colOff>
      <xdr:row>5</xdr:row>
      <xdr:rowOff>160020</xdr:rowOff>
    </xdr:from>
    <xdr:to>
      <xdr:col>1</xdr:col>
      <xdr:colOff>171450</xdr:colOff>
      <xdr:row>5</xdr:row>
      <xdr:rowOff>205739</xdr:rowOff>
    </xdr:to>
    <xdr:sp macro="" textlink="">
      <xdr:nvSpPr>
        <xdr:cNvPr id="16" name="Right Arrow 15">
          <a:extLst>
            <a:ext uri="{FF2B5EF4-FFF2-40B4-BE49-F238E27FC236}">
              <a16:creationId xmlns:a16="http://schemas.microsoft.com/office/drawing/2014/main" xmlns="" id="{00000000-0008-0000-0400-000010000000}"/>
            </a:ext>
          </a:extLst>
        </xdr:cNvPr>
        <xdr:cNvSpPr/>
      </xdr:nvSpPr>
      <xdr:spPr>
        <a:xfrm flipV="1">
          <a:off x="556260" y="2179320"/>
          <a:ext cx="571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cp</a:t>
          </a:r>
        </a:p>
        <a:p>
          <a:pPr algn="ctr"/>
          <a:endParaRPr lang="en-US" sz="1100"/>
        </a:p>
      </xdr:txBody>
    </xdr:sp>
    <xdr:clientData/>
  </xdr:twoCellAnchor>
  <xdr:twoCellAnchor>
    <xdr:from>
      <xdr:col>1</xdr:col>
      <xdr:colOff>112395</xdr:colOff>
      <xdr:row>7</xdr:row>
      <xdr:rowOff>156210</xdr:rowOff>
    </xdr:from>
    <xdr:to>
      <xdr:col>1</xdr:col>
      <xdr:colOff>169545</xdr:colOff>
      <xdr:row>7</xdr:row>
      <xdr:rowOff>201929</xdr:rowOff>
    </xdr:to>
    <xdr:sp macro="" textlink="">
      <xdr:nvSpPr>
        <xdr:cNvPr id="7" name="Right Arrow 6">
          <a:extLst>
            <a:ext uri="{FF2B5EF4-FFF2-40B4-BE49-F238E27FC236}">
              <a16:creationId xmlns:a16="http://schemas.microsoft.com/office/drawing/2014/main" xmlns="" id="{00000000-0008-0000-0400-000007000000}"/>
            </a:ext>
          </a:extLst>
        </xdr:cNvPr>
        <xdr:cNvSpPr/>
      </xdr:nvSpPr>
      <xdr:spPr>
        <a:xfrm flipV="1">
          <a:off x="554355" y="2891790"/>
          <a:ext cx="57150" cy="45719"/>
        </a:xfrm>
        <a:prstGeom prst="rightArrow">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cp</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1</xdr:col>
      <xdr:colOff>108585</xdr:colOff>
      <xdr:row>8</xdr:row>
      <xdr:rowOff>200025</xdr:rowOff>
    </xdr:from>
    <xdr:to>
      <xdr:col>1</xdr:col>
      <xdr:colOff>165735</xdr:colOff>
      <xdr:row>8</xdr:row>
      <xdr:rowOff>245744</xdr:rowOff>
    </xdr:to>
    <xdr:sp macro="" textlink="">
      <xdr:nvSpPr>
        <xdr:cNvPr id="9" name="Right Arrow 8">
          <a:extLst>
            <a:ext uri="{FF2B5EF4-FFF2-40B4-BE49-F238E27FC236}">
              <a16:creationId xmlns:a16="http://schemas.microsoft.com/office/drawing/2014/main" xmlns="" id="{00000000-0008-0000-0400-000009000000}"/>
            </a:ext>
          </a:extLst>
        </xdr:cNvPr>
        <xdr:cNvSpPr/>
      </xdr:nvSpPr>
      <xdr:spPr>
        <a:xfrm flipV="1">
          <a:off x="550545" y="3293745"/>
          <a:ext cx="57150" cy="45719"/>
        </a:xfrm>
        <a:prstGeom prst="rightArrow">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cp</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tel:+977-%209851246415/01-4027350"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K760"/>
  <sheetViews>
    <sheetView showGridLines="0" topLeftCell="A9" zoomScale="115" zoomScaleNormal="115" workbookViewId="0">
      <selection activeCell="C229" sqref="C229:F229"/>
    </sheetView>
  </sheetViews>
  <sheetFormatPr defaultRowHeight="15" x14ac:dyDescent="0.25"/>
  <cols>
    <col min="1" max="1" width="2.140625" customWidth="1"/>
    <col min="2" max="2" width="20.85546875" customWidth="1"/>
    <col min="3" max="3" width="40.7109375" customWidth="1"/>
    <col min="4" max="4" width="7.42578125" customWidth="1"/>
    <col min="5" max="5" width="17" customWidth="1"/>
    <col min="6" max="6" width="45.5703125" customWidth="1"/>
    <col min="7" max="7" width="2.5703125" customWidth="1"/>
    <col min="8" max="8" width="14.28515625" bestFit="1" customWidth="1"/>
  </cols>
  <sheetData>
    <row r="1" spans="1:6" ht="15.75" thickBot="1" x14ac:dyDescent="0.3"/>
    <row r="2" spans="1:6" ht="20.25" thickBot="1" x14ac:dyDescent="0.3">
      <c r="B2" s="374" t="s">
        <v>285</v>
      </c>
      <c r="C2" s="375"/>
      <c r="D2" s="375"/>
      <c r="E2" s="375"/>
      <c r="F2" s="376"/>
    </row>
    <row r="3" spans="1:6" x14ac:dyDescent="0.25">
      <c r="B3" s="193"/>
      <c r="F3" s="194"/>
    </row>
    <row r="4" spans="1:6" x14ac:dyDescent="0.25">
      <c r="B4" s="195" t="s">
        <v>370</v>
      </c>
      <c r="C4" s="238">
        <v>46142</v>
      </c>
      <c r="E4" s="5" t="s">
        <v>371</v>
      </c>
      <c r="F4" s="237" t="s">
        <v>101</v>
      </c>
    </row>
    <row r="5" spans="1:6" ht="15.75" thickBot="1" x14ac:dyDescent="0.3">
      <c r="B5" s="193"/>
      <c r="F5" s="194"/>
    </row>
    <row r="6" spans="1:6" ht="16.5" thickBot="1" x14ac:dyDescent="0.3">
      <c r="B6" s="320" t="s">
        <v>476</v>
      </c>
      <c r="C6" s="316">
        <v>2</v>
      </c>
      <c r="F6" s="194"/>
    </row>
    <row r="7" spans="1:6" x14ac:dyDescent="0.25">
      <c r="B7" s="193"/>
      <c r="F7" s="194"/>
    </row>
    <row r="8" spans="1:6" s="2" customFormat="1" x14ac:dyDescent="0.25">
      <c r="A8"/>
      <c r="B8" s="251" t="s">
        <v>489</v>
      </c>
      <c r="C8" s="236" t="s">
        <v>507</v>
      </c>
      <c r="D8" s="5"/>
      <c r="E8" s="323" t="s">
        <v>508</v>
      </c>
      <c r="F8" s="237" t="s">
        <v>507</v>
      </c>
    </row>
    <row r="9" spans="1:6" ht="6.75" customHeight="1" x14ac:dyDescent="0.25">
      <c r="B9" s="193"/>
      <c r="F9" s="194"/>
    </row>
    <row r="10" spans="1:6" x14ac:dyDescent="0.25">
      <c r="B10" s="195" t="s">
        <v>19</v>
      </c>
      <c r="C10" s="236">
        <v>9765014537</v>
      </c>
      <c r="E10" s="5" t="s">
        <v>19</v>
      </c>
      <c r="F10" s="236">
        <v>9765014537</v>
      </c>
    </row>
    <row r="11" spans="1:6" x14ac:dyDescent="0.25">
      <c r="B11" s="193"/>
      <c r="F11" s="194"/>
    </row>
    <row r="12" spans="1:6" s="2" customFormat="1" x14ac:dyDescent="0.25">
      <c r="A12"/>
      <c r="B12" s="251"/>
      <c r="C12" s="236"/>
      <c r="D12" s="5"/>
      <c r="E12" s="323" t="s">
        <v>483</v>
      </c>
      <c r="F12" s="237" t="s">
        <v>509</v>
      </c>
    </row>
    <row r="13" spans="1:6" ht="6.75" customHeight="1" x14ac:dyDescent="0.25">
      <c r="B13" s="193"/>
      <c r="F13" s="194"/>
    </row>
    <row r="14" spans="1:6" x14ac:dyDescent="0.25">
      <c r="B14" s="195"/>
      <c r="C14" s="236"/>
      <c r="E14" s="5" t="s">
        <v>19</v>
      </c>
      <c r="F14" s="237">
        <v>9851002598</v>
      </c>
    </row>
    <row r="15" spans="1:6" x14ac:dyDescent="0.25">
      <c r="B15" s="193"/>
      <c r="F15" s="194"/>
    </row>
    <row r="16" spans="1:6" s="2" customFormat="1" hidden="1" x14ac:dyDescent="0.25">
      <c r="A16"/>
      <c r="B16" s="251" t="s">
        <v>486</v>
      </c>
      <c r="C16" s="236"/>
      <c r="D16" s="5"/>
      <c r="E16" s="323" t="s">
        <v>484</v>
      </c>
      <c r="F16" s="237"/>
    </row>
    <row r="17" spans="1:6" ht="6.75" hidden="1" customHeight="1" x14ac:dyDescent="0.25">
      <c r="B17" s="193"/>
      <c r="F17" s="194"/>
    </row>
    <row r="18" spans="1:6" hidden="1" x14ac:dyDescent="0.25">
      <c r="B18" s="195" t="s">
        <v>19</v>
      </c>
      <c r="C18" s="236"/>
      <c r="E18" s="5" t="s">
        <v>19</v>
      </c>
      <c r="F18" s="237"/>
    </row>
    <row r="19" spans="1:6" hidden="1" x14ac:dyDescent="0.25">
      <c r="B19" s="193"/>
      <c r="F19" s="194"/>
    </row>
    <row r="20" spans="1:6" s="2" customFormat="1" hidden="1" x14ac:dyDescent="0.25">
      <c r="A20"/>
      <c r="B20" s="251" t="s">
        <v>487</v>
      </c>
      <c r="C20" s="236"/>
      <c r="D20" s="5"/>
      <c r="E20" s="323" t="s">
        <v>485</v>
      </c>
      <c r="F20" s="237"/>
    </row>
    <row r="21" spans="1:6" ht="6.75" hidden="1" customHeight="1" x14ac:dyDescent="0.25">
      <c r="B21" s="193"/>
      <c r="F21" s="194"/>
    </row>
    <row r="22" spans="1:6" hidden="1" x14ac:dyDescent="0.25">
      <c r="B22" s="195" t="s">
        <v>19</v>
      </c>
      <c r="C22" s="236"/>
      <c r="E22" s="5" t="s">
        <v>19</v>
      </c>
      <c r="F22" s="237"/>
    </row>
    <row r="23" spans="1:6" hidden="1" x14ac:dyDescent="0.25">
      <c r="B23" s="193"/>
      <c r="F23" s="194"/>
    </row>
    <row r="24" spans="1:6" s="2" customFormat="1" hidden="1" x14ac:dyDescent="0.25">
      <c r="A24"/>
      <c r="B24" s="251" t="s">
        <v>481</v>
      </c>
      <c r="C24" s="236"/>
      <c r="D24" s="5"/>
      <c r="E24" s="323" t="s">
        <v>482</v>
      </c>
      <c r="F24" s="237"/>
    </row>
    <row r="25" spans="1:6" ht="6.75" hidden="1" customHeight="1" x14ac:dyDescent="0.25">
      <c r="B25" s="193"/>
      <c r="F25" s="194"/>
    </row>
    <row r="26" spans="1:6" hidden="1" x14ac:dyDescent="0.25">
      <c r="B26" s="195" t="s">
        <v>19</v>
      </c>
      <c r="C26" s="236"/>
      <c r="E26" s="5" t="s">
        <v>19</v>
      </c>
      <c r="F26" s="237"/>
    </row>
    <row r="27" spans="1:6" hidden="1" x14ac:dyDescent="0.25">
      <c r="B27" s="195"/>
      <c r="C27" s="5"/>
      <c r="D27" s="190"/>
      <c r="E27" s="190"/>
      <c r="F27" s="194"/>
    </row>
    <row r="28" spans="1:6" ht="23.25" customHeight="1" thickBot="1" x14ac:dyDescent="0.3">
      <c r="B28" s="363" t="s">
        <v>343</v>
      </c>
      <c r="C28" s="364"/>
      <c r="D28" s="364"/>
      <c r="E28" s="364"/>
      <c r="F28" s="365"/>
    </row>
    <row r="29" spans="1:6" ht="16.5" thickBot="1" x14ac:dyDescent="0.3">
      <c r="B29" s="320" t="s">
        <v>480</v>
      </c>
      <c r="C29" s="338">
        <v>1</v>
      </c>
      <c r="F29" s="194"/>
    </row>
    <row r="30" spans="1:6" x14ac:dyDescent="0.25">
      <c r="B30" s="337" t="s">
        <v>321</v>
      </c>
      <c r="C30" s="219"/>
      <c r="D30" s="219"/>
      <c r="E30" s="219"/>
      <c r="F30" s="332"/>
    </row>
    <row r="31" spans="1:6" x14ac:dyDescent="0.25">
      <c r="B31" s="195" t="s">
        <v>20</v>
      </c>
      <c r="C31" s="239">
        <v>298</v>
      </c>
      <c r="E31" s="321" t="s">
        <v>18</v>
      </c>
      <c r="F31" s="240" t="s">
        <v>461</v>
      </c>
    </row>
    <row r="32" spans="1:6" ht="6.75" customHeight="1" x14ac:dyDescent="0.25">
      <c r="B32" s="193"/>
      <c r="F32" s="194"/>
    </row>
    <row r="33" spans="2:6" ht="15.75" customHeight="1" x14ac:dyDescent="0.25">
      <c r="B33" s="197" t="s">
        <v>477</v>
      </c>
      <c r="C33" s="239" t="s">
        <v>522</v>
      </c>
      <c r="E33" s="151" t="s">
        <v>280</v>
      </c>
      <c r="F33" s="345">
        <v>6</v>
      </c>
    </row>
    <row r="34" spans="2:6" ht="6.75" customHeight="1" x14ac:dyDescent="0.25">
      <c r="B34" s="193"/>
      <c r="F34" s="194"/>
    </row>
    <row r="35" spans="2:6" x14ac:dyDescent="0.25">
      <c r="B35" s="197" t="s">
        <v>281</v>
      </c>
      <c r="C35" s="239" t="s">
        <v>521</v>
      </c>
      <c r="E35" s="151" t="s">
        <v>282</v>
      </c>
      <c r="F35" s="345">
        <v>4</v>
      </c>
    </row>
    <row r="36" spans="2:6" ht="6.75" customHeight="1" x14ac:dyDescent="0.25">
      <c r="B36" s="193"/>
      <c r="F36" s="194"/>
    </row>
    <row r="37" spans="2:6" x14ac:dyDescent="0.25">
      <c r="B37" s="198" t="s">
        <v>286</v>
      </c>
      <c r="C37" s="378" t="str">
        <f>C33&amp;"-"&amp;F33&amp;" (Sabik "&amp;C35&amp;"-"&amp;F35&amp;"), "&amp;F31&amp;" "&amp;E31</f>
        <v>Gokarneshwor Municipality-6 (Sabik Jorpati VDC-4), Kathmandu District</v>
      </c>
      <c r="D37" s="361"/>
      <c r="E37" s="361"/>
      <c r="F37" s="362"/>
    </row>
    <row r="38" spans="2:6" ht="15.75" thickBot="1" x14ac:dyDescent="0.3">
      <c r="B38" s="231"/>
      <c r="C38" s="324"/>
      <c r="D38" s="324"/>
      <c r="E38" s="324"/>
      <c r="F38" s="325"/>
    </row>
    <row r="39" spans="2:6" hidden="1" x14ac:dyDescent="0.25">
      <c r="B39" s="337" t="s">
        <v>322</v>
      </c>
      <c r="C39" s="327"/>
      <c r="D39" s="327"/>
      <c r="E39" s="327"/>
      <c r="F39" s="328"/>
    </row>
    <row r="40" spans="2:6" hidden="1" x14ac:dyDescent="0.25">
      <c r="B40" s="195" t="s">
        <v>20</v>
      </c>
      <c r="C40" s="239">
        <v>2</v>
      </c>
      <c r="E40" s="321" t="s">
        <v>18</v>
      </c>
      <c r="F40" s="240" t="s">
        <v>461</v>
      </c>
    </row>
    <row r="41" spans="2:6" ht="6.75" hidden="1" customHeight="1" x14ac:dyDescent="0.25">
      <c r="B41" s="193"/>
      <c r="F41" s="194"/>
    </row>
    <row r="42" spans="2:6" ht="15.75" hidden="1" customHeight="1" x14ac:dyDescent="0.25">
      <c r="B42" s="197" t="s">
        <v>477</v>
      </c>
      <c r="C42" s="239" t="s">
        <v>283</v>
      </c>
      <c r="E42" s="151" t="s">
        <v>280</v>
      </c>
      <c r="F42" s="322" t="s">
        <v>478</v>
      </c>
    </row>
    <row r="43" spans="2:6" ht="6.75" hidden="1" customHeight="1" x14ac:dyDescent="0.25">
      <c r="B43" s="193"/>
      <c r="F43" s="194"/>
    </row>
    <row r="44" spans="2:6" hidden="1" x14ac:dyDescent="0.25">
      <c r="B44" s="197" t="s">
        <v>281</v>
      </c>
      <c r="C44" s="239" t="s">
        <v>284</v>
      </c>
      <c r="E44" s="151" t="s">
        <v>282</v>
      </c>
      <c r="F44" s="322" t="s">
        <v>479</v>
      </c>
    </row>
    <row r="45" spans="2:6" ht="6.75" hidden="1" customHeight="1" x14ac:dyDescent="0.25">
      <c r="B45" s="193"/>
      <c r="F45" s="194"/>
    </row>
    <row r="46" spans="2:6" hidden="1" x14ac:dyDescent="0.25">
      <c r="B46" s="198" t="s">
        <v>286</v>
      </c>
      <c r="C46" s="378" t="str">
        <f>C42&amp;"-"&amp;F42&amp;" (Sabik "&amp;C44&amp;"-"&amp;F44&amp;"), "&amp;F40&amp;" "&amp;E40</f>
        <v>Tarakeshwor Municipality-10 (Sabik Manamaiju VDC-5), Kathmandu District</v>
      </c>
      <c r="D46" s="361"/>
      <c r="E46" s="361"/>
      <c r="F46" s="362"/>
    </row>
    <row r="47" spans="2:6" ht="15.75" hidden="1" thickBot="1" x14ac:dyDescent="0.3">
      <c r="B47" s="231"/>
      <c r="C47" s="324"/>
      <c r="D47" s="324"/>
      <c r="E47" s="324"/>
      <c r="F47" s="325"/>
    </row>
    <row r="48" spans="2:6" hidden="1" x14ac:dyDescent="0.25">
      <c r="B48" s="337" t="s">
        <v>324</v>
      </c>
      <c r="C48" s="327"/>
      <c r="D48" s="327"/>
      <c r="E48" s="327"/>
      <c r="F48" s="328"/>
    </row>
    <row r="49" spans="2:6" hidden="1" x14ac:dyDescent="0.25">
      <c r="B49" s="195" t="s">
        <v>20</v>
      </c>
      <c r="C49" s="239">
        <v>3</v>
      </c>
      <c r="E49" s="321" t="s">
        <v>18</v>
      </c>
      <c r="F49" s="240" t="s">
        <v>461</v>
      </c>
    </row>
    <row r="50" spans="2:6" ht="6.75" hidden="1" customHeight="1" x14ac:dyDescent="0.25">
      <c r="B50" s="193"/>
      <c r="F50" s="194"/>
    </row>
    <row r="51" spans="2:6" ht="15.75" hidden="1" customHeight="1" x14ac:dyDescent="0.25">
      <c r="B51" s="197" t="s">
        <v>477</v>
      </c>
      <c r="C51" s="239" t="s">
        <v>283</v>
      </c>
      <c r="E51" s="151" t="s">
        <v>280</v>
      </c>
      <c r="F51" s="322" t="s">
        <v>478</v>
      </c>
    </row>
    <row r="52" spans="2:6" ht="6.75" hidden="1" customHeight="1" x14ac:dyDescent="0.25">
      <c r="B52" s="193"/>
      <c r="F52" s="194"/>
    </row>
    <row r="53" spans="2:6" hidden="1" x14ac:dyDescent="0.25">
      <c r="B53" s="197" t="s">
        <v>281</v>
      </c>
      <c r="C53" s="239" t="s">
        <v>284</v>
      </c>
      <c r="E53" s="151" t="s">
        <v>282</v>
      </c>
      <c r="F53" s="322" t="s">
        <v>479</v>
      </c>
    </row>
    <row r="54" spans="2:6" ht="6.75" hidden="1" customHeight="1" x14ac:dyDescent="0.25">
      <c r="B54" s="193"/>
      <c r="F54" s="194"/>
    </row>
    <row r="55" spans="2:6" hidden="1" x14ac:dyDescent="0.25">
      <c r="B55" s="198" t="s">
        <v>286</v>
      </c>
      <c r="C55" s="378" t="str">
        <f>C51&amp;"-"&amp;F51&amp;" (Sabik "&amp;C53&amp;"-"&amp;F53&amp;"), "&amp;F49&amp;" "&amp;E49</f>
        <v>Tarakeshwor Municipality-10 (Sabik Manamaiju VDC-5), Kathmandu District</v>
      </c>
      <c r="D55" s="361"/>
      <c r="E55" s="361"/>
      <c r="F55" s="362"/>
    </row>
    <row r="56" spans="2:6" ht="15.75" hidden="1" thickBot="1" x14ac:dyDescent="0.3">
      <c r="B56" s="231"/>
      <c r="C56" s="324"/>
      <c r="D56" s="324"/>
      <c r="E56" s="324"/>
      <c r="F56" s="325"/>
    </row>
    <row r="57" spans="2:6" hidden="1" x14ac:dyDescent="0.25">
      <c r="B57" s="337" t="s">
        <v>325</v>
      </c>
      <c r="C57" s="327"/>
      <c r="D57" s="327"/>
      <c r="E57" s="327"/>
      <c r="F57" s="328"/>
    </row>
    <row r="58" spans="2:6" hidden="1" x14ac:dyDescent="0.25">
      <c r="B58" s="195" t="s">
        <v>20</v>
      </c>
      <c r="C58" s="239">
        <v>4</v>
      </c>
      <c r="E58" s="321" t="s">
        <v>18</v>
      </c>
      <c r="F58" s="240" t="s">
        <v>461</v>
      </c>
    </row>
    <row r="59" spans="2:6" ht="6.75" hidden="1" customHeight="1" x14ac:dyDescent="0.25">
      <c r="B59" s="193"/>
      <c r="F59" s="194"/>
    </row>
    <row r="60" spans="2:6" ht="15.75" hidden="1" customHeight="1" x14ac:dyDescent="0.25">
      <c r="B60" s="197" t="s">
        <v>477</v>
      </c>
      <c r="C60" s="239" t="s">
        <v>283</v>
      </c>
      <c r="E60" s="151" t="s">
        <v>280</v>
      </c>
      <c r="F60" s="322" t="s">
        <v>478</v>
      </c>
    </row>
    <row r="61" spans="2:6" ht="6.75" hidden="1" customHeight="1" x14ac:dyDescent="0.25">
      <c r="B61" s="193"/>
      <c r="F61" s="194"/>
    </row>
    <row r="62" spans="2:6" hidden="1" x14ac:dyDescent="0.25">
      <c r="B62" s="197" t="s">
        <v>281</v>
      </c>
      <c r="C62" s="239" t="s">
        <v>284</v>
      </c>
      <c r="E62" s="151" t="s">
        <v>282</v>
      </c>
      <c r="F62" s="322" t="s">
        <v>479</v>
      </c>
    </row>
    <row r="63" spans="2:6" ht="6.75" hidden="1" customHeight="1" x14ac:dyDescent="0.25">
      <c r="B63" s="193"/>
      <c r="F63" s="194"/>
    </row>
    <row r="64" spans="2:6" hidden="1" x14ac:dyDescent="0.25">
      <c r="B64" s="198" t="s">
        <v>286</v>
      </c>
      <c r="C64" s="378" t="str">
        <f>C60&amp;"-"&amp;F60&amp;" (Sabik "&amp;C62&amp;"-"&amp;F62&amp;"), "&amp;F58&amp;" "&amp;E58</f>
        <v>Tarakeshwor Municipality-10 (Sabik Manamaiju VDC-5), Kathmandu District</v>
      </c>
      <c r="D64" s="361"/>
      <c r="E64" s="361"/>
      <c r="F64" s="362"/>
    </row>
    <row r="65" spans="2:6" ht="15.75" hidden="1" thickBot="1" x14ac:dyDescent="0.3">
      <c r="B65" s="231"/>
      <c r="C65" s="324"/>
      <c r="D65" s="324"/>
      <c r="E65" s="324"/>
      <c r="F65" s="325"/>
    </row>
    <row r="66" spans="2:6" hidden="1" x14ac:dyDescent="0.25">
      <c r="B66" s="337" t="s">
        <v>328</v>
      </c>
      <c r="C66" s="327"/>
      <c r="D66" s="327"/>
      <c r="E66" s="327"/>
      <c r="F66" s="328"/>
    </row>
    <row r="67" spans="2:6" hidden="1" x14ac:dyDescent="0.25">
      <c r="B67" s="195" t="s">
        <v>20</v>
      </c>
      <c r="C67" s="239">
        <v>5</v>
      </c>
      <c r="E67" s="321" t="s">
        <v>18</v>
      </c>
      <c r="F67" s="240" t="s">
        <v>461</v>
      </c>
    </row>
    <row r="68" spans="2:6" ht="6.75" hidden="1" customHeight="1" x14ac:dyDescent="0.25">
      <c r="B68" s="193"/>
      <c r="F68" s="194"/>
    </row>
    <row r="69" spans="2:6" ht="15.75" hidden="1" customHeight="1" x14ac:dyDescent="0.25">
      <c r="B69" s="197" t="s">
        <v>477</v>
      </c>
      <c r="C69" s="239" t="s">
        <v>283</v>
      </c>
      <c r="E69" s="151" t="s">
        <v>280</v>
      </c>
      <c r="F69" s="322" t="s">
        <v>478</v>
      </c>
    </row>
    <row r="70" spans="2:6" ht="6.75" hidden="1" customHeight="1" x14ac:dyDescent="0.25">
      <c r="B70" s="193"/>
      <c r="F70" s="194"/>
    </row>
    <row r="71" spans="2:6" hidden="1" x14ac:dyDescent="0.25">
      <c r="B71" s="197" t="s">
        <v>281</v>
      </c>
      <c r="C71" s="239" t="s">
        <v>284</v>
      </c>
      <c r="E71" s="151" t="s">
        <v>282</v>
      </c>
      <c r="F71" s="322" t="s">
        <v>479</v>
      </c>
    </row>
    <row r="72" spans="2:6" ht="6.75" hidden="1" customHeight="1" x14ac:dyDescent="0.25">
      <c r="B72" s="193"/>
      <c r="F72" s="194"/>
    </row>
    <row r="73" spans="2:6" hidden="1" x14ac:dyDescent="0.25">
      <c r="B73" s="198" t="s">
        <v>286</v>
      </c>
      <c r="C73" s="378" t="str">
        <f>C69&amp;"-"&amp;F69&amp;" (Sabik "&amp;C71&amp;"-"&amp;F71&amp;"), "&amp;F67&amp;" "&amp;E67</f>
        <v>Tarakeshwor Municipality-10 (Sabik Manamaiju VDC-5), Kathmandu District</v>
      </c>
      <c r="D73" s="361"/>
      <c r="E73" s="361"/>
      <c r="F73" s="362"/>
    </row>
    <row r="74" spans="2:6" ht="15.75" hidden="1" thickBot="1" x14ac:dyDescent="0.3">
      <c r="B74" s="231"/>
      <c r="C74" s="324"/>
      <c r="D74" s="324"/>
      <c r="E74" s="324"/>
      <c r="F74" s="325"/>
    </row>
    <row r="75" spans="2:6" hidden="1" x14ac:dyDescent="0.25">
      <c r="B75" s="337" t="s">
        <v>502</v>
      </c>
      <c r="C75" s="327"/>
      <c r="D75" s="327"/>
      <c r="E75" s="327"/>
      <c r="F75" s="328"/>
    </row>
    <row r="76" spans="2:6" hidden="1" x14ac:dyDescent="0.25">
      <c r="B76" s="195" t="s">
        <v>20</v>
      </c>
      <c r="C76" s="239">
        <v>6</v>
      </c>
      <c r="E76" s="321" t="s">
        <v>18</v>
      </c>
      <c r="F76" s="240" t="s">
        <v>461</v>
      </c>
    </row>
    <row r="77" spans="2:6" ht="6.75" hidden="1" customHeight="1" x14ac:dyDescent="0.25">
      <c r="B77" s="193"/>
      <c r="F77" s="194"/>
    </row>
    <row r="78" spans="2:6" ht="15.75" hidden="1" customHeight="1" x14ac:dyDescent="0.25">
      <c r="B78" s="197" t="s">
        <v>477</v>
      </c>
      <c r="C78" s="239" t="s">
        <v>283</v>
      </c>
      <c r="E78" s="151" t="s">
        <v>280</v>
      </c>
      <c r="F78" s="322" t="s">
        <v>478</v>
      </c>
    </row>
    <row r="79" spans="2:6" ht="6.75" hidden="1" customHeight="1" x14ac:dyDescent="0.25">
      <c r="B79" s="193"/>
      <c r="F79" s="194"/>
    </row>
    <row r="80" spans="2:6" hidden="1" x14ac:dyDescent="0.25">
      <c r="B80" s="197" t="s">
        <v>281</v>
      </c>
      <c r="C80" s="239" t="s">
        <v>284</v>
      </c>
      <c r="E80" s="151" t="s">
        <v>282</v>
      </c>
      <c r="F80" s="322" t="s">
        <v>479</v>
      </c>
    </row>
    <row r="81" spans="2:6" ht="6.75" hidden="1" customHeight="1" x14ac:dyDescent="0.25">
      <c r="B81" s="193"/>
      <c r="F81" s="194"/>
    </row>
    <row r="82" spans="2:6" hidden="1" x14ac:dyDescent="0.25">
      <c r="B82" s="198" t="s">
        <v>286</v>
      </c>
      <c r="C82" s="378" t="str">
        <f>C78&amp;"-"&amp;F78&amp;" (Sabik "&amp;C80&amp;"-"&amp;F80&amp;"), "&amp;F76&amp;" "&amp;E76</f>
        <v>Tarakeshwor Municipality-10 (Sabik Manamaiju VDC-5), Kathmandu District</v>
      </c>
      <c r="D82" s="361"/>
      <c r="E82" s="361"/>
      <c r="F82" s="362"/>
    </row>
    <row r="83" spans="2:6" ht="15.75" hidden="1" thickBot="1" x14ac:dyDescent="0.3">
      <c r="B83" s="231"/>
      <c r="C83" s="324"/>
      <c r="D83" s="324"/>
      <c r="E83" s="324"/>
      <c r="F83" s="325"/>
    </row>
    <row r="84" spans="2:6" hidden="1" x14ac:dyDescent="0.25">
      <c r="B84" s="337" t="s">
        <v>503</v>
      </c>
      <c r="C84" s="327"/>
      <c r="D84" s="327"/>
      <c r="E84" s="327"/>
      <c r="F84" s="328"/>
    </row>
    <row r="85" spans="2:6" hidden="1" x14ac:dyDescent="0.25">
      <c r="B85" s="195" t="s">
        <v>20</v>
      </c>
      <c r="C85" s="239">
        <v>7</v>
      </c>
      <c r="E85" s="321" t="s">
        <v>18</v>
      </c>
      <c r="F85" s="240" t="s">
        <v>461</v>
      </c>
    </row>
    <row r="86" spans="2:6" ht="6.75" hidden="1" customHeight="1" x14ac:dyDescent="0.25">
      <c r="B86" s="193"/>
      <c r="F86" s="194"/>
    </row>
    <row r="87" spans="2:6" ht="15.75" hidden="1" customHeight="1" x14ac:dyDescent="0.25">
      <c r="B87" s="197" t="s">
        <v>477</v>
      </c>
      <c r="C87" s="239" t="s">
        <v>283</v>
      </c>
      <c r="E87" s="151" t="s">
        <v>280</v>
      </c>
      <c r="F87" s="322" t="s">
        <v>478</v>
      </c>
    </row>
    <row r="88" spans="2:6" ht="6.75" hidden="1" customHeight="1" x14ac:dyDescent="0.25">
      <c r="B88" s="193"/>
      <c r="F88" s="194"/>
    </row>
    <row r="89" spans="2:6" hidden="1" x14ac:dyDescent="0.25">
      <c r="B89" s="197" t="s">
        <v>281</v>
      </c>
      <c r="C89" s="239" t="s">
        <v>284</v>
      </c>
      <c r="E89" s="151" t="s">
        <v>282</v>
      </c>
      <c r="F89" s="322" t="s">
        <v>479</v>
      </c>
    </row>
    <row r="90" spans="2:6" ht="6.75" hidden="1" customHeight="1" x14ac:dyDescent="0.25">
      <c r="B90" s="193"/>
      <c r="F90" s="194"/>
    </row>
    <row r="91" spans="2:6" hidden="1" x14ac:dyDescent="0.25">
      <c r="B91" s="198" t="s">
        <v>286</v>
      </c>
      <c r="C91" s="378" t="str">
        <f>C87&amp;"-"&amp;F87&amp;" (Sabik "&amp;C89&amp;"-"&amp;F89&amp;"), "&amp;F85&amp;" "&amp;E85</f>
        <v>Tarakeshwor Municipality-10 (Sabik Manamaiju VDC-5), Kathmandu District</v>
      </c>
      <c r="D91" s="361"/>
      <c r="E91" s="361"/>
      <c r="F91" s="362"/>
    </row>
    <row r="92" spans="2:6" ht="15.75" hidden="1" thickBot="1" x14ac:dyDescent="0.3">
      <c r="B92" s="231"/>
      <c r="C92" s="324"/>
      <c r="D92" s="324"/>
      <c r="E92" s="324"/>
      <c r="F92" s="325"/>
    </row>
    <row r="93" spans="2:6" hidden="1" x14ac:dyDescent="0.25">
      <c r="B93" s="337" t="s">
        <v>504</v>
      </c>
      <c r="C93" s="327"/>
      <c r="D93" s="327"/>
      <c r="E93" s="327"/>
      <c r="F93" s="328"/>
    </row>
    <row r="94" spans="2:6" hidden="1" x14ac:dyDescent="0.25">
      <c r="B94" s="195" t="s">
        <v>20</v>
      </c>
      <c r="C94" s="239">
        <v>8</v>
      </c>
      <c r="E94" s="321" t="s">
        <v>18</v>
      </c>
      <c r="F94" s="240" t="s">
        <v>461</v>
      </c>
    </row>
    <row r="95" spans="2:6" ht="6.75" hidden="1" customHeight="1" x14ac:dyDescent="0.25">
      <c r="B95" s="193"/>
      <c r="F95" s="194"/>
    </row>
    <row r="96" spans="2:6" ht="15.75" hidden="1" customHeight="1" x14ac:dyDescent="0.25">
      <c r="B96" s="197" t="s">
        <v>477</v>
      </c>
      <c r="C96" s="239" t="s">
        <v>283</v>
      </c>
      <c r="E96" s="151" t="s">
        <v>280</v>
      </c>
      <c r="F96" s="322" t="s">
        <v>478</v>
      </c>
    </row>
    <row r="97" spans="2:6" ht="6.75" hidden="1" customHeight="1" x14ac:dyDescent="0.25">
      <c r="B97" s="193"/>
      <c r="F97" s="194"/>
    </row>
    <row r="98" spans="2:6" hidden="1" x14ac:dyDescent="0.25">
      <c r="B98" s="197" t="s">
        <v>281</v>
      </c>
      <c r="C98" s="239" t="s">
        <v>284</v>
      </c>
      <c r="E98" s="151" t="s">
        <v>282</v>
      </c>
      <c r="F98" s="322" t="s">
        <v>479</v>
      </c>
    </row>
    <row r="99" spans="2:6" ht="6.75" hidden="1" customHeight="1" x14ac:dyDescent="0.25">
      <c r="B99" s="193"/>
      <c r="F99" s="194"/>
    </row>
    <row r="100" spans="2:6" hidden="1" x14ac:dyDescent="0.25">
      <c r="B100" s="198" t="s">
        <v>286</v>
      </c>
      <c r="C100" s="378" t="str">
        <f>C96&amp;"-"&amp;F96&amp;" (Sabik "&amp;C98&amp;"-"&amp;F98&amp;"), "&amp;F94&amp;" "&amp;E94</f>
        <v>Tarakeshwor Municipality-10 (Sabik Manamaiju VDC-5), Kathmandu District</v>
      </c>
      <c r="D100" s="361"/>
      <c r="E100" s="361"/>
      <c r="F100" s="362"/>
    </row>
    <row r="101" spans="2:6" ht="15.75" hidden="1" thickBot="1" x14ac:dyDescent="0.3">
      <c r="B101" s="231"/>
      <c r="C101" s="324"/>
      <c r="D101" s="324"/>
      <c r="E101" s="324"/>
      <c r="F101" s="325"/>
    </row>
    <row r="102" spans="2:6" hidden="1" x14ac:dyDescent="0.25">
      <c r="B102" s="337" t="s">
        <v>501</v>
      </c>
      <c r="C102" s="327"/>
      <c r="D102" s="327"/>
      <c r="E102" s="327"/>
      <c r="F102" s="328"/>
    </row>
    <row r="103" spans="2:6" hidden="1" x14ac:dyDescent="0.25">
      <c r="B103" s="195" t="s">
        <v>20</v>
      </c>
      <c r="C103" s="239">
        <v>9</v>
      </c>
      <c r="E103" s="321" t="s">
        <v>18</v>
      </c>
      <c r="F103" s="240" t="s">
        <v>461</v>
      </c>
    </row>
    <row r="104" spans="2:6" ht="6.75" hidden="1" customHeight="1" x14ac:dyDescent="0.25">
      <c r="B104" s="193"/>
      <c r="F104" s="194"/>
    </row>
    <row r="105" spans="2:6" ht="15.75" hidden="1" customHeight="1" x14ac:dyDescent="0.25">
      <c r="B105" s="197" t="s">
        <v>477</v>
      </c>
      <c r="C105" s="239" t="s">
        <v>283</v>
      </c>
      <c r="E105" s="151" t="s">
        <v>280</v>
      </c>
      <c r="F105" s="322" t="s">
        <v>478</v>
      </c>
    </row>
    <row r="106" spans="2:6" ht="6.75" hidden="1" customHeight="1" x14ac:dyDescent="0.25">
      <c r="B106" s="193"/>
      <c r="F106" s="194"/>
    </row>
    <row r="107" spans="2:6" hidden="1" x14ac:dyDescent="0.25">
      <c r="B107" s="197" t="s">
        <v>281</v>
      </c>
      <c r="C107" s="239" t="s">
        <v>284</v>
      </c>
      <c r="E107" s="151" t="s">
        <v>282</v>
      </c>
      <c r="F107" s="322" t="s">
        <v>479</v>
      </c>
    </row>
    <row r="108" spans="2:6" ht="6.75" hidden="1" customHeight="1" x14ac:dyDescent="0.25">
      <c r="B108" s="193"/>
      <c r="F108" s="194"/>
    </row>
    <row r="109" spans="2:6" hidden="1" x14ac:dyDescent="0.25">
      <c r="B109" s="198" t="s">
        <v>286</v>
      </c>
      <c r="C109" s="378" t="str">
        <f>C105&amp;"-"&amp;F105&amp;" (Sabik "&amp;C107&amp;"-"&amp;F107&amp;"), "&amp;F103&amp;" "&amp;E103</f>
        <v>Tarakeshwor Municipality-10 (Sabik Manamaiju VDC-5), Kathmandu District</v>
      </c>
      <c r="D109" s="361"/>
      <c r="E109" s="361"/>
      <c r="F109" s="362"/>
    </row>
    <row r="110" spans="2:6" ht="15.75" hidden="1" thickBot="1" x14ac:dyDescent="0.3">
      <c r="B110" s="231"/>
      <c r="C110" s="324"/>
      <c r="D110" s="324"/>
      <c r="E110" s="324"/>
      <c r="F110" s="325"/>
    </row>
    <row r="111" spans="2:6" hidden="1" x14ac:dyDescent="0.25">
      <c r="B111" s="337" t="s">
        <v>500</v>
      </c>
      <c r="C111" s="327"/>
      <c r="D111" s="327"/>
      <c r="E111" s="327"/>
      <c r="F111" s="328"/>
    </row>
    <row r="112" spans="2:6" hidden="1" x14ac:dyDescent="0.25">
      <c r="B112" s="195" t="s">
        <v>20</v>
      </c>
      <c r="C112" s="239">
        <v>10</v>
      </c>
      <c r="E112" s="321" t="s">
        <v>18</v>
      </c>
      <c r="F112" s="240" t="s">
        <v>461</v>
      </c>
    </row>
    <row r="113" spans="2:6" ht="6.75" hidden="1" customHeight="1" x14ac:dyDescent="0.25">
      <c r="B113" s="193"/>
      <c r="F113" s="194"/>
    </row>
    <row r="114" spans="2:6" ht="15.75" hidden="1" customHeight="1" x14ac:dyDescent="0.25">
      <c r="B114" s="197" t="s">
        <v>477</v>
      </c>
      <c r="C114" s="239" t="s">
        <v>283</v>
      </c>
      <c r="E114" s="151" t="s">
        <v>280</v>
      </c>
      <c r="F114" s="322" t="s">
        <v>478</v>
      </c>
    </row>
    <row r="115" spans="2:6" ht="6.75" hidden="1" customHeight="1" x14ac:dyDescent="0.25">
      <c r="B115" s="193"/>
      <c r="F115" s="194"/>
    </row>
    <row r="116" spans="2:6" hidden="1" x14ac:dyDescent="0.25">
      <c r="B116" s="197" t="s">
        <v>281</v>
      </c>
      <c r="C116" s="239" t="s">
        <v>284</v>
      </c>
      <c r="E116" s="151" t="s">
        <v>282</v>
      </c>
      <c r="F116" s="322" t="s">
        <v>479</v>
      </c>
    </row>
    <row r="117" spans="2:6" ht="6.75" hidden="1" customHeight="1" x14ac:dyDescent="0.25">
      <c r="B117" s="193"/>
      <c r="F117" s="194"/>
    </row>
    <row r="118" spans="2:6" hidden="1" x14ac:dyDescent="0.25">
      <c r="B118" s="198" t="s">
        <v>286</v>
      </c>
      <c r="C118" s="378" t="str">
        <f>C114&amp;"-"&amp;F114&amp;" (Sabik "&amp;C116&amp;"-"&amp;F116&amp;"), "&amp;F112&amp;" "&amp;E112</f>
        <v>Tarakeshwor Municipality-10 (Sabik Manamaiju VDC-5), Kathmandu District</v>
      </c>
      <c r="D118" s="361"/>
      <c r="E118" s="361"/>
      <c r="F118" s="362"/>
    </row>
    <row r="119" spans="2:6" ht="15.75" hidden="1" thickBot="1" x14ac:dyDescent="0.3">
      <c r="B119" s="231"/>
      <c r="C119" s="324"/>
      <c r="D119" s="324"/>
      <c r="E119" s="324"/>
      <c r="F119" s="325"/>
    </row>
    <row r="120" spans="2:6" hidden="1" x14ac:dyDescent="0.25">
      <c r="B120" s="337" t="s">
        <v>499</v>
      </c>
      <c r="C120" s="327"/>
      <c r="D120" s="327"/>
      <c r="E120" s="327"/>
      <c r="F120" s="328"/>
    </row>
    <row r="121" spans="2:6" hidden="1" x14ac:dyDescent="0.25">
      <c r="B121" s="195" t="s">
        <v>20</v>
      </c>
      <c r="C121" s="239">
        <v>11</v>
      </c>
      <c r="E121" s="321" t="s">
        <v>18</v>
      </c>
      <c r="F121" s="240" t="s">
        <v>461</v>
      </c>
    </row>
    <row r="122" spans="2:6" ht="6.75" hidden="1" customHeight="1" x14ac:dyDescent="0.25">
      <c r="B122" s="193"/>
      <c r="F122" s="194"/>
    </row>
    <row r="123" spans="2:6" ht="15.75" hidden="1" customHeight="1" x14ac:dyDescent="0.25">
      <c r="B123" s="197" t="s">
        <v>477</v>
      </c>
      <c r="C123" s="239" t="s">
        <v>283</v>
      </c>
      <c r="E123" s="151" t="s">
        <v>280</v>
      </c>
      <c r="F123" s="322" t="s">
        <v>478</v>
      </c>
    </row>
    <row r="124" spans="2:6" ht="6.75" hidden="1" customHeight="1" x14ac:dyDescent="0.25">
      <c r="B124" s="193"/>
      <c r="F124" s="194"/>
    </row>
    <row r="125" spans="2:6" hidden="1" x14ac:dyDescent="0.25">
      <c r="B125" s="197" t="s">
        <v>281</v>
      </c>
      <c r="C125" s="239" t="s">
        <v>284</v>
      </c>
      <c r="E125" s="151" t="s">
        <v>282</v>
      </c>
      <c r="F125" s="322" t="s">
        <v>479</v>
      </c>
    </row>
    <row r="126" spans="2:6" ht="6.75" hidden="1" customHeight="1" x14ac:dyDescent="0.25">
      <c r="B126" s="193"/>
      <c r="F126" s="194"/>
    </row>
    <row r="127" spans="2:6" hidden="1" x14ac:dyDescent="0.25">
      <c r="B127" s="198" t="s">
        <v>286</v>
      </c>
      <c r="C127" s="378" t="str">
        <f>C123&amp;"-"&amp;F123&amp;" (Sabik "&amp;C125&amp;"-"&amp;F125&amp;"), "&amp;F121&amp;" "&amp;E121</f>
        <v>Tarakeshwor Municipality-10 (Sabik Manamaiju VDC-5), Kathmandu District</v>
      </c>
      <c r="D127" s="361"/>
      <c r="E127" s="361"/>
      <c r="F127" s="362"/>
    </row>
    <row r="128" spans="2:6" ht="15.75" hidden="1" thickBot="1" x14ac:dyDescent="0.3">
      <c r="B128" s="231"/>
      <c r="C128" s="324"/>
      <c r="D128" s="324"/>
      <c r="E128" s="324"/>
      <c r="F128" s="325"/>
    </row>
    <row r="129" spans="2:6" hidden="1" x14ac:dyDescent="0.25">
      <c r="B129" s="337" t="s">
        <v>498</v>
      </c>
      <c r="C129" s="327"/>
      <c r="D129" s="327"/>
      <c r="E129" s="327"/>
      <c r="F129" s="328"/>
    </row>
    <row r="130" spans="2:6" hidden="1" x14ac:dyDescent="0.25">
      <c r="B130" s="195" t="s">
        <v>20</v>
      </c>
      <c r="C130" s="239">
        <v>12</v>
      </c>
      <c r="E130" s="321" t="s">
        <v>18</v>
      </c>
      <c r="F130" s="240" t="s">
        <v>461</v>
      </c>
    </row>
    <row r="131" spans="2:6" ht="6.75" hidden="1" customHeight="1" x14ac:dyDescent="0.25">
      <c r="B131" s="193"/>
      <c r="F131" s="194"/>
    </row>
    <row r="132" spans="2:6" ht="15.75" hidden="1" customHeight="1" x14ac:dyDescent="0.25">
      <c r="B132" s="197" t="s">
        <v>477</v>
      </c>
      <c r="C132" s="239" t="s">
        <v>283</v>
      </c>
      <c r="E132" s="151" t="s">
        <v>280</v>
      </c>
      <c r="F132" s="322" t="s">
        <v>478</v>
      </c>
    </row>
    <row r="133" spans="2:6" ht="6.75" hidden="1" customHeight="1" x14ac:dyDescent="0.25">
      <c r="B133" s="193"/>
      <c r="F133" s="194"/>
    </row>
    <row r="134" spans="2:6" hidden="1" x14ac:dyDescent="0.25">
      <c r="B134" s="197" t="s">
        <v>281</v>
      </c>
      <c r="C134" s="239" t="s">
        <v>284</v>
      </c>
      <c r="E134" s="151" t="s">
        <v>282</v>
      </c>
      <c r="F134" s="322" t="s">
        <v>479</v>
      </c>
    </row>
    <row r="135" spans="2:6" ht="6.75" hidden="1" customHeight="1" x14ac:dyDescent="0.25">
      <c r="B135" s="193"/>
      <c r="F135" s="194"/>
    </row>
    <row r="136" spans="2:6" hidden="1" x14ac:dyDescent="0.25">
      <c r="B136" s="198" t="s">
        <v>286</v>
      </c>
      <c r="C136" s="378" t="str">
        <f>C132&amp;"-"&amp;F132&amp;" (Sabik "&amp;C134&amp;"-"&amp;F134&amp;"), "&amp;F130&amp;" "&amp;E130</f>
        <v>Tarakeshwor Municipality-10 (Sabik Manamaiju VDC-5), Kathmandu District</v>
      </c>
      <c r="D136" s="361"/>
      <c r="E136" s="361"/>
      <c r="F136" s="362"/>
    </row>
    <row r="137" spans="2:6" ht="15.75" hidden="1" thickBot="1" x14ac:dyDescent="0.3">
      <c r="B137" s="231"/>
      <c r="C137" s="324"/>
      <c r="D137" s="324"/>
      <c r="E137" s="324"/>
      <c r="F137" s="325"/>
    </row>
    <row r="138" spans="2:6" hidden="1" x14ac:dyDescent="0.25">
      <c r="B138" s="337" t="s">
        <v>490</v>
      </c>
      <c r="C138" s="327"/>
      <c r="D138" s="327"/>
      <c r="E138" s="327"/>
      <c r="F138" s="328"/>
    </row>
    <row r="139" spans="2:6" hidden="1" x14ac:dyDescent="0.25">
      <c r="B139" s="195" t="s">
        <v>20</v>
      </c>
      <c r="C139" s="239">
        <v>13</v>
      </c>
      <c r="E139" s="321" t="s">
        <v>18</v>
      </c>
      <c r="F139" s="240" t="s">
        <v>461</v>
      </c>
    </row>
    <row r="140" spans="2:6" ht="6.75" hidden="1" customHeight="1" x14ac:dyDescent="0.25">
      <c r="B140" s="193"/>
      <c r="F140" s="194"/>
    </row>
    <row r="141" spans="2:6" ht="15.75" hidden="1" customHeight="1" x14ac:dyDescent="0.25">
      <c r="B141" s="197" t="s">
        <v>477</v>
      </c>
      <c r="C141" s="239" t="s">
        <v>283</v>
      </c>
      <c r="E141" s="151" t="s">
        <v>280</v>
      </c>
      <c r="F141" s="322" t="s">
        <v>478</v>
      </c>
    </row>
    <row r="142" spans="2:6" ht="6.75" hidden="1" customHeight="1" x14ac:dyDescent="0.25">
      <c r="B142" s="193"/>
      <c r="F142" s="194"/>
    </row>
    <row r="143" spans="2:6" hidden="1" x14ac:dyDescent="0.25">
      <c r="B143" s="197" t="s">
        <v>281</v>
      </c>
      <c r="C143" s="239" t="s">
        <v>284</v>
      </c>
      <c r="E143" s="151" t="s">
        <v>282</v>
      </c>
      <c r="F143" s="322" t="s">
        <v>479</v>
      </c>
    </row>
    <row r="144" spans="2:6" ht="6.75" hidden="1" customHeight="1" x14ac:dyDescent="0.25">
      <c r="B144" s="193"/>
      <c r="F144" s="194"/>
    </row>
    <row r="145" spans="2:6" hidden="1" x14ac:dyDescent="0.25">
      <c r="B145" s="198" t="s">
        <v>286</v>
      </c>
      <c r="C145" s="378" t="str">
        <f>C141&amp;"-"&amp;F141&amp;" (Sabik "&amp;C143&amp;"-"&amp;F143&amp;"), "&amp;F139&amp;" "&amp;E139</f>
        <v>Tarakeshwor Municipality-10 (Sabik Manamaiju VDC-5), Kathmandu District</v>
      </c>
      <c r="D145" s="361"/>
      <c r="E145" s="361"/>
      <c r="F145" s="362"/>
    </row>
    <row r="146" spans="2:6" ht="15.75" hidden="1" thickBot="1" x14ac:dyDescent="0.3">
      <c r="B146" s="231"/>
      <c r="C146" s="324"/>
      <c r="D146" s="324"/>
      <c r="E146" s="324"/>
      <c r="F146" s="325"/>
    </row>
    <row r="147" spans="2:6" hidden="1" x14ac:dyDescent="0.25">
      <c r="B147" s="337" t="s">
        <v>497</v>
      </c>
      <c r="C147" s="327"/>
      <c r="D147" s="327"/>
      <c r="E147" s="327"/>
      <c r="F147" s="328"/>
    </row>
    <row r="148" spans="2:6" hidden="1" x14ac:dyDescent="0.25">
      <c r="B148" s="195" t="s">
        <v>20</v>
      </c>
      <c r="C148" s="239">
        <v>14</v>
      </c>
      <c r="E148" s="321" t="s">
        <v>18</v>
      </c>
      <c r="F148" s="240" t="s">
        <v>461</v>
      </c>
    </row>
    <row r="149" spans="2:6" ht="6.75" hidden="1" customHeight="1" x14ac:dyDescent="0.25">
      <c r="B149" s="193"/>
      <c r="F149" s="194"/>
    </row>
    <row r="150" spans="2:6" ht="15.75" hidden="1" customHeight="1" x14ac:dyDescent="0.25">
      <c r="B150" s="197" t="s">
        <v>477</v>
      </c>
      <c r="C150" s="239" t="s">
        <v>283</v>
      </c>
      <c r="E150" s="151" t="s">
        <v>280</v>
      </c>
      <c r="F150" s="322" t="s">
        <v>478</v>
      </c>
    </row>
    <row r="151" spans="2:6" ht="6.75" hidden="1" customHeight="1" x14ac:dyDescent="0.25">
      <c r="B151" s="193"/>
      <c r="F151" s="194"/>
    </row>
    <row r="152" spans="2:6" hidden="1" x14ac:dyDescent="0.25">
      <c r="B152" s="197" t="s">
        <v>281</v>
      </c>
      <c r="C152" s="239" t="s">
        <v>284</v>
      </c>
      <c r="E152" s="151" t="s">
        <v>282</v>
      </c>
      <c r="F152" s="322" t="s">
        <v>479</v>
      </c>
    </row>
    <row r="153" spans="2:6" ht="6.75" hidden="1" customHeight="1" x14ac:dyDescent="0.25">
      <c r="B153" s="193"/>
      <c r="F153" s="194"/>
    </row>
    <row r="154" spans="2:6" hidden="1" x14ac:dyDescent="0.25">
      <c r="B154" s="198" t="s">
        <v>286</v>
      </c>
      <c r="C154" s="378" t="str">
        <f>C150&amp;"-"&amp;F150&amp;" (Sabik "&amp;C152&amp;"-"&amp;F152&amp;"), "&amp;F148&amp;" "&amp;E148</f>
        <v>Tarakeshwor Municipality-10 (Sabik Manamaiju VDC-5), Kathmandu District</v>
      </c>
      <c r="D154" s="361"/>
      <c r="E154" s="361"/>
      <c r="F154" s="362"/>
    </row>
    <row r="155" spans="2:6" ht="15.75" hidden="1" thickBot="1" x14ac:dyDescent="0.3">
      <c r="B155" s="231"/>
      <c r="C155" s="324"/>
      <c r="D155" s="324"/>
      <c r="E155" s="324"/>
      <c r="F155" s="325"/>
    </row>
    <row r="156" spans="2:6" hidden="1" x14ac:dyDescent="0.25">
      <c r="B156" s="337" t="s">
        <v>496</v>
      </c>
      <c r="C156" s="327"/>
      <c r="D156" s="327"/>
      <c r="E156" s="327"/>
      <c r="F156" s="328"/>
    </row>
    <row r="157" spans="2:6" hidden="1" x14ac:dyDescent="0.25">
      <c r="B157" s="195" t="s">
        <v>20</v>
      </c>
      <c r="C157" s="239">
        <v>15</v>
      </c>
      <c r="E157" s="321" t="s">
        <v>18</v>
      </c>
      <c r="F157" s="240" t="s">
        <v>461</v>
      </c>
    </row>
    <row r="158" spans="2:6" ht="6.75" hidden="1" customHeight="1" x14ac:dyDescent="0.25">
      <c r="B158" s="193"/>
      <c r="F158" s="194"/>
    </row>
    <row r="159" spans="2:6" ht="15.75" hidden="1" customHeight="1" x14ac:dyDescent="0.25">
      <c r="B159" s="197" t="s">
        <v>477</v>
      </c>
      <c r="C159" s="239" t="s">
        <v>283</v>
      </c>
      <c r="E159" s="151" t="s">
        <v>280</v>
      </c>
      <c r="F159" s="322" t="s">
        <v>478</v>
      </c>
    </row>
    <row r="160" spans="2:6" ht="6.75" hidden="1" customHeight="1" x14ac:dyDescent="0.25">
      <c r="B160" s="193"/>
      <c r="F160" s="194"/>
    </row>
    <row r="161" spans="2:6" hidden="1" x14ac:dyDescent="0.25">
      <c r="B161" s="197" t="s">
        <v>281</v>
      </c>
      <c r="C161" s="239" t="s">
        <v>284</v>
      </c>
      <c r="E161" s="151" t="s">
        <v>282</v>
      </c>
      <c r="F161" s="322" t="s">
        <v>479</v>
      </c>
    </row>
    <row r="162" spans="2:6" ht="6.75" hidden="1" customHeight="1" x14ac:dyDescent="0.25">
      <c r="B162" s="193"/>
      <c r="F162" s="194"/>
    </row>
    <row r="163" spans="2:6" hidden="1" x14ac:dyDescent="0.25">
      <c r="B163" s="198" t="s">
        <v>286</v>
      </c>
      <c r="C163" s="378" t="str">
        <f>C159&amp;"-"&amp;F159&amp;" (Sabik "&amp;C161&amp;"-"&amp;F161&amp;"), "&amp;F157&amp;" "&amp;E157</f>
        <v>Tarakeshwor Municipality-10 (Sabik Manamaiju VDC-5), Kathmandu District</v>
      </c>
      <c r="D163" s="361"/>
      <c r="E163" s="361"/>
      <c r="F163" s="362"/>
    </row>
    <row r="164" spans="2:6" ht="15.75" hidden="1" thickBot="1" x14ac:dyDescent="0.3">
      <c r="B164" s="231"/>
      <c r="C164" s="324"/>
      <c r="D164" s="324"/>
      <c r="E164" s="324"/>
      <c r="F164" s="325"/>
    </row>
    <row r="165" spans="2:6" hidden="1" x14ac:dyDescent="0.25">
      <c r="B165" s="337" t="s">
        <v>495</v>
      </c>
      <c r="C165" s="327"/>
      <c r="D165" s="327"/>
      <c r="E165" s="327"/>
      <c r="F165" s="328"/>
    </row>
    <row r="166" spans="2:6" hidden="1" x14ac:dyDescent="0.25">
      <c r="B166" s="195" t="s">
        <v>20</v>
      </c>
      <c r="C166" s="239">
        <v>16</v>
      </c>
      <c r="E166" s="321" t="s">
        <v>18</v>
      </c>
      <c r="F166" s="240" t="s">
        <v>461</v>
      </c>
    </row>
    <row r="167" spans="2:6" ht="6.75" hidden="1" customHeight="1" x14ac:dyDescent="0.25">
      <c r="B167" s="193"/>
      <c r="F167" s="194"/>
    </row>
    <row r="168" spans="2:6" ht="15.75" hidden="1" customHeight="1" x14ac:dyDescent="0.25">
      <c r="B168" s="197" t="s">
        <v>477</v>
      </c>
      <c r="C168" s="239" t="s">
        <v>283</v>
      </c>
      <c r="E168" s="151" t="s">
        <v>280</v>
      </c>
      <c r="F168" s="322" t="s">
        <v>478</v>
      </c>
    </row>
    <row r="169" spans="2:6" ht="6.75" hidden="1" customHeight="1" x14ac:dyDescent="0.25">
      <c r="B169" s="193"/>
      <c r="F169" s="194"/>
    </row>
    <row r="170" spans="2:6" hidden="1" x14ac:dyDescent="0.25">
      <c r="B170" s="197" t="s">
        <v>281</v>
      </c>
      <c r="C170" s="239" t="s">
        <v>284</v>
      </c>
      <c r="E170" s="151" t="s">
        <v>282</v>
      </c>
      <c r="F170" s="322" t="s">
        <v>479</v>
      </c>
    </row>
    <row r="171" spans="2:6" ht="6.75" hidden="1" customHeight="1" x14ac:dyDescent="0.25">
      <c r="B171" s="193"/>
      <c r="F171" s="194"/>
    </row>
    <row r="172" spans="2:6" hidden="1" x14ac:dyDescent="0.25">
      <c r="B172" s="198" t="s">
        <v>286</v>
      </c>
      <c r="C172" s="378" t="str">
        <f>C168&amp;"-"&amp;F168&amp;" (Sabik "&amp;C170&amp;"-"&amp;F170&amp;"), "&amp;F166&amp;" "&amp;E166</f>
        <v>Tarakeshwor Municipality-10 (Sabik Manamaiju VDC-5), Kathmandu District</v>
      </c>
      <c r="D172" s="361"/>
      <c r="E172" s="361"/>
      <c r="F172" s="362"/>
    </row>
    <row r="173" spans="2:6" ht="15.75" hidden="1" thickBot="1" x14ac:dyDescent="0.3">
      <c r="B173" s="231"/>
      <c r="C173" s="324"/>
      <c r="D173" s="324"/>
      <c r="E173" s="324"/>
      <c r="F173" s="325"/>
    </row>
    <row r="174" spans="2:6" hidden="1" x14ac:dyDescent="0.25">
      <c r="B174" s="337" t="s">
        <v>494</v>
      </c>
      <c r="C174" s="327"/>
      <c r="D174" s="327"/>
      <c r="E174" s="327"/>
      <c r="F174" s="328"/>
    </row>
    <row r="175" spans="2:6" hidden="1" x14ac:dyDescent="0.25">
      <c r="B175" s="195" t="s">
        <v>20</v>
      </c>
      <c r="C175" s="239">
        <v>17</v>
      </c>
      <c r="E175" s="321" t="s">
        <v>18</v>
      </c>
      <c r="F175" s="240" t="s">
        <v>461</v>
      </c>
    </row>
    <row r="176" spans="2:6" ht="6.75" hidden="1" customHeight="1" x14ac:dyDescent="0.25">
      <c r="B176" s="193"/>
      <c r="F176" s="194"/>
    </row>
    <row r="177" spans="2:6" ht="15.75" hidden="1" customHeight="1" x14ac:dyDescent="0.25">
      <c r="B177" s="197" t="s">
        <v>477</v>
      </c>
      <c r="C177" s="239" t="s">
        <v>283</v>
      </c>
      <c r="E177" s="151" t="s">
        <v>280</v>
      </c>
      <c r="F177" s="322" t="s">
        <v>478</v>
      </c>
    </row>
    <row r="178" spans="2:6" ht="6.75" hidden="1" customHeight="1" x14ac:dyDescent="0.25">
      <c r="B178" s="193"/>
      <c r="F178" s="194"/>
    </row>
    <row r="179" spans="2:6" hidden="1" x14ac:dyDescent="0.25">
      <c r="B179" s="197" t="s">
        <v>281</v>
      </c>
      <c r="C179" s="239" t="s">
        <v>284</v>
      </c>
      <c r="E179" s="151" t="s">
        <v>282</v>
      </c>
      <c r="F179" s="322" t="s">
        <v>479</v>
      </c>
    </row>
    <row r="180" spans="2:6" ht="6.75" hidden="1" customHeight="1" x14ac:dyDescent="0.25">
      <c r="B180" s="193"/>
      <c r="F180" s="194"/>
    </row>
    <row r="181" spans="2:6" hidden="1" x14ac:dyDescent="0.25">
      <c r="B181" s="198" t="s">
        <v>286</v>
      </c>
      <c r="C181" s="378" t="str">
        <f>C177&amp;"-"&amp;F177&amp;" (Sabik "&amp;C179&amp;"-"&amp;F179&amp;"), "&amp;F175&amp;" "&amp;E175</f>
        <v>Tarakeshwor Municipality-10 (Sabik Manamaiju VDC-5), Kathmandu District</v>
      </c>
      <c r="D181" s="361"/>
      <c r="E181" s="361"/>
      <c r="F181" s="362"/>
    </row>
    <row r="182" spans="2:6" ht="15.75" hidden="1" thickBot="1" x14ac:dyDescent="0.3">
      <c r="B182" s="231"/>
      <c r="C182" s="324"/>
      <c r="D182" s="324"/>
      <c r="E182" s="324"/>
      <c r="F182" s="325"/>
    </row>
    <row r="183" spans="2:6" hidden="1" x14ac:dyDescent="0.25">
      <c r="B183" s="337" t="s">
        <v>493</v>
      </c>
      <c r="C183" s="327"/>
      <c r="D183" s="327"/>
      <c r="E183" s="327"/>
      <c r="F183" s="328"/>
    </row>
    <row r="184" spans="2:6" hidden="1" x14ac:dyDescent="0.25">
      <c r="B184" s="195" t="s">
        <v>20</v>
      </c>
      <c r="C184" s="239">
        <v>18</v>
      </c>
      <c r="E184" s="321" t="s">
        <v>18</v>
      </c>
      <c r="F184" s="240" t="s">
        <v>461</v>
      </c>
    </row>
    <row r="185" spans="2:6" ht="6.75" hidden="1" customHeight="1" x14ac:dyDescent="0.25">
      <c r="B185" s="193"/>
      <c r="F185" s="194"/>
    </row>
    <row r="186" spans="2:6" ht="15.75" hidden="1" customHeight="1" x14ac:dyDescent="0.25">
      <c r="B186" s="197" t="s">
        <v>477</v>
      </c>
      <c r="C186" s="239" t="s">
        <v>283</v>
      </c>
      <c r="E186" s="151" t="s">
        <v>280</v>
      </c>
      <c r="F186" s="322" t="s">
        <v>478</v>
      </c>
    </row>
    <row r="187" spans="2:6" ht="6.75" hidden="1" customHeight="1" x14ac:dyDescent="0.25">
      <c r="B187" s="193"/>
      <c r="F187" s="194"/>
    </row>
    <row r="188" spans="2:6" hidden="1" x14ac:dyDescent="0.25">
      <c r="B188" s="197" t="s">
        <v>281</v>
      </c>
      <c r="C188" s="239" t="s">
        <v>284</v>
      </c>
      <c r="E188" s="151" t="s">
        <v>282</v>
      </c>
      <c r="F188" s="322" t="s">
        <v>479</v>
      </c>
    </row>
    <row r="189" spans="2:6" ht="6.75" hidden="1" customHeight="1" x14ac:dyDescent="0.25">
      <c r="B189" s="193"/>
      <c r="F189" s="194"/>
    </row>
    <row r="190" spans="2:6" hidden="1" x14ac:dyDescent="0.25">
      <c r="B190" s="198" t="s">
        <v>286</v>
      </c>
      <c r="C190" s="378" t="str">
        <f>C186&amp;"-"&amp;F186&amp;" (Sabik "&amp;C188&amp;"-"&amp;F188&amp;"), "&amp;F184&amp;" "&amp;E184</f>
        <v>Tarakeshwor Municipality-10 (Sabik Manamaiju VDC-5), Kathmandu District</v>
      </c>
      <c r="D190" s="361"/>
      <c r="E190" s="361"/>
      <c r="F190" s="362"/>
    </row>
    <row r="191" spans="2:6" ht="15.75" hidden="1" thickBot="1" x14ac:dyDescent="0.3">
      <c r="B191" s="231"/>
      <c r="C191" s="324"/>
      <c r="D191" s="324"/>
      <c r="E191" s="324"/>
      <c r="F191" s="325"/>
    </row>
    <row r="192" spans="2:6" hidden="1" x14ac:dyDescent="0.25">
      <c r="B192" s="337" t="s">
        <v>492</v>
      </c>
      <c r="C192" s="327"/>
      <c r="D192" s="327"/>
      <c r="E192" s="327"/>
      <c r="F192" s="328"/>
    </row>
    <row r="193" spans="2:6" hidden="1" x14ac:dyDescent="0.25">
      <c r="B193" s="195" t="s">
        <v>20</v>
      </c>
      <c r="C193" s="239">
        <v>19</v>
      </c>
      <c r="E193" s="321" t="s">
        <v>18</v>
      </c>
      <c r="F193" s="240" t="s">
        <v>461</v>
      </c>
    </row>
    <row r="194" spans="2:6" ht="6.75" hidden="1" customHeight="1" x14ac:dyDescent="0.25">
      <c r="B194" s="193"/>
      <c r="F194" s="194"/>
    </row>
    <row r="195" spans="2:6" ht="15.75" hidden="1" customHeight="1" x14ac:dyDescent="0.25">
      <c r="B195" s="197" t="s">
        <v>477</v>
      </c>
      <c r="C195" s="239" t="s">
        <v>283</v>
      </c>
      <c r="E195" s="151" t="s">
        <v>280</v>
      </c>
      <c r="F195" s="322" t="s">
        <v>478</v>
      </c>
    </row>
    <row r="196" spans="2:6" ht="6.75" hidden="1" customHeight="1" x14ac:dyDescent="0.25">
      <c r="B196" s="193"/>
      <c r="F196" s="194"/>
    </row>
    <row r="197" spans="2:6" hidden="1" x14ac:dyDescent="0.25">
      <c r="B197" s="197" t="s">
        <v>281</v>
      </c>
      <c r="C197" s="239" t="s">
        <v>284</v>
      </c>
      <c r="E197" s="151" t="s">
        <v>282</v>
      </c>
      <c r="F197" s="322" t="s">
        <v>479</v>
      </c>
    </row>
    <row r="198" spans="2:6" ht="6.75" hidden="1" customHeight="1" x14ac:dyDescent="0.25">
      <c r="B198" s="193"/>
      <c r="F198" s="194"/>
    </row>
    <row r="199" spans="2:6" hidden="1" x14ac:dyDescent="0.25">
      <c r="B199" s="198" t="s">
        <v>286</v>
      </c>
      <c r="C199" s="378" t="str">
        <f>C195&amp;"-"&amp;F195&amp;" (Sabik "&amp;C197&amp;"-"&amp;F197&amp;"), "&amp;F193&amp;" "&amp;E193</f>
        <v>Tarakeshwor Municipality-10 (Sabik Manamaiju VDC-5), Kathmandu District</v>
      </c>
      <c r="D199" s="361"/>
      <c r="E199" s="361"/>
      <c r="F199" s="362"/>
    </row>
    <row r="200" spans="2:6" ht="15.75" hidden="1" thickBot="1" x14ac:dyDescent="0.3">
      <c r="B200" s="231"/>
      <c r="C200" s="324"/>
      <c r="D200" s="324"/>
      <c r="E200" s="324"/>
      <c r="F200" s="325"/>
    </row>
    <row r="201" spans="2:6" hidden="1" x14ac:dyDescent="0.25">
      <c r="B201" s="337" t="s">
        <v>491</v>
      </c>
      <c r="C201" s="327"/>
      <c r="D201" s="327"/>
      <c r="E201" s="327"/>
      <c r="F201" s="328"/>
    </row>
    <row r="202" spans="2:6" hidden="1" x14ac:dyDescent="0.25">
      <c r="B202" s="195" t="s">
        <v>20</v>
      </c>
      <c r="C202" s="239">
        <v>20</v>
      </c>
      <c r="E202" s="321" t="s">
        <v>18</v>
      </c>
      <c r="F202" s="240" t="s">
        <v>461</v>
      </c>
    </row>
    <row r="203" spans="2:6" ht="6.75" hidden="1" customHeight="1" x14ac:dyDescent="0.25">
      <c r="B203" s="193"/>
      <c r="F203" s="194"/>
    </row>
    <row r="204" spans="2:6" ht="15.75" hidden="1" customHeight="1" x14ac:dyDescent="0.25">
      <c r="B204" s="197" t="s">
        <v>477</v>
      </c>
      <c r="C204" s="239" t="s">
        <v>283</v>
      </c>
      <c r="E204" s="151" t="s">
        <v>280</v>
      </c>
      <c r="F204" s="322" t="s">
        <v>478</v>
      </c>
    </row>
    <row r="205" spans="2:6" ht="6.75" hidden="1" customHeight="1" x14ac:dyDescent="0.25">
      <c r="B205" s="193"/>
      <c r="F205" s="194"/>
    </row>
    <row r="206" spans="2:6" hidden="1" x14ac:dyDescent="0.25">
      <c r="B206" s="197" t="s">
        <v>281</v>
      </c>
      <c r="C206" s="239" t="s">
        <v>284</v>
      </c>
      <c r="E206" s="151" t="s">
        <v>282</v>
      </c>
      <c r="F206" s="322" t="s">
        <v>479</v>
      </c>
    </row>
    <row r="207" spans="2:6" ht="6.75" hidden="1" customHeight="1" x14ac:dyDescent="0.25">
      <c r="B207" s="193"/>
      <c r="F207" s="194"/>
    </row>
    <row r="208" spans="2:6" hidden="1" x14ac:dyDescent="0.25">
      <c r="B208" s="198" t="s">
        <v>286</v>
      </c>
      <c r="C208" s="378" t="str">
        <f>C204&amp;"-"&amp;F204&amp;" (Sabik "&amp;C206&amp;"-"&amp;F206&amp;"), "&amp;F202&amp;" "&amp;E202</f>
        <v>Tarakeshwor Municipality-10 (Sabik Manamaiju VDC-5), Kathmandu District</v>
      </c>
      <c r="D208" s="361"/>
      <c r="E208" s="361"/>
      <c r="F208" s="362"/>
    </row>
    <row r="209" spans="2:11" ht="15.75" hidden="1" thickBot="1" x14ac:dyDescent="0.3">
      <c r="B209" s="199"/>
      <c r="C209" s="200"/>
      <c r="D209" s="200"/>
      <c r="E209" s="200"/>
      <c r="F209" s="201"/>
    </row>
    <row r="210" spans="2:11" ht="15.75" thickBot="1" x14ac:dyDescent="0.3">
      <c r="B210" s="172"/>
      <c r="C210" s="377"/>
      <c r="D210" s="377"/>
      <c r="E210" s="377"/>
      <c r="F210" s="377"/>
    </row>
    <row r="211" spans="2:11" ht="20.25" thickBot="1" x14ac:dyDescent="0.3">
      <c r="B211" s="374" t="s">
        <v>357</v>
      </c>
      <c r="C211" s="375"/>
      <c r="D211" s="375"/>
      <c r="E211" s="375"/>
      <c r="F211" s="376"/>
    </row>
    <row r="212" spans="2:11" ht="15.75" x14ac:dyDescent="0.25">
      <c r="B212" s="339" t="s">
        <v>321</v>
      </c>
      <c r="C212" s="219"/>
      <c r="D212" s="219"/>
      <c r="E212" s="219"/>
      <c r="F212" s="332"/>
    </row>
    <row r="213" spans="2:11" ht="15.75" x14ac:dyDescent="0.25">
      <c r="B213" s="329" t="s">
        <v>20</v>
      </c>
      <c r="C213" s="336">
        <f>C31</f>
        <v>298</v>
      </c>
      <c r="D213" s="333"/>
      <c r="E213" s="5"/>
      <c r="F213" s="206"/>
      <c r="H213" s="192"/>
    </row>
    <row r="214" spans="2:11" ht="6" customHeight="1" x14ac:dyDescent="0.25">
      <c r="B214" s="193"/>
      <c r="F214" s="194"/>
    </row>
    <row r="215" spans="2:11" ht="15.75" x14ac:dyDescent="0.25">
      <c r="B215" s="195" t="s">
        <v>296</v>
      </c>
      <c r="C215" s="241">
        <v>2.5499999999999998</v>
      </c>
      <c r="D215" s="333" t="s">
        <v>297</v>
      </c>
      <c r="E215" s="5"/>
      <c r="F215" s="206"/>
      <c r="H215" s="192" t="s">
        <v>365</v>
      </c>
    </row>
    <row r="216" spans="2:11" ht="6.75" customHeight="1" x14ac:dyDescent="0.25">
      <c r="B216" s="193"/>
      <c r="F216" s="194"/>
    </row>
    <row r="217" spans="2:11" x14ac:dyDescent="0.25">
      <c r="B217" s="195" t="s">
        <v>287</v>
      </c>
      <c r="C217" s="242">
        <v>890000</v>
      </c>
      <c r="D217" t="s">
        <v>297</v>
      </c>
      <c r="E217" s="5" t="s">
        <v>288</v>
      </c>
      <c r="F217" s="243">
        <v>4850000</v>
      </c>
      <c r="H217" s="226" t="s">
        <v>366</v>
      </c>
      <c r="I217" s="379"/>
      <c r="J217" s="379"/>
      <c r="K217" s="379"/>
    </row>
    <row r="218" spans="2:11" ht="15" customHeight="1" x14ac:dyDescent="0.25">
      <c r="B218" s="195" t="s">
        <v>345</v>
      </c>
      <c r="C218" s="225" t="str">
        <f>NumToLakhBreak(C217)</f>
        <v>8 Lakh 90 Thousand</v>
      </c>
      <c r="D218" s="334"/>
      <c r="E218" s="334"/>
      <c r="F218" s="207"/>
      <c r="H218" s="226" t="s">
        <v>367</v>
      </c>
      <c r="I218" s="380"/>
      <c r="J218" s="380"/>
      <c r="K218" s="380"/>
    </row>
    <row r="219" spans="2:11" ht="6.75" customHeight="1" x14ac:dyDescent="0.25">
      <c r="B219" s="193"/>
      <c r="F219" s="194"/>
    </row>
    <row r="220" spans="2:11" x14ac:dyDescent="0.25">
      <c r="B220" s="197" t="s">
        <v>289</v>
      </c>
      <c r="C220" s="245" t="s">
        <v>344</v>
      </c>
      <c r="E220" s="151" t="s">
        <v>290</v>
      </c>
      <c r="F220" s="244" t="s">
        <v>344</v>
      </c>
      <c r="H220" s="162" t="s">
        <v>368</v>
      </c>
      <c r="I220" s="381"/>
      <c r="J220" s="382"/>
      <c r="K220" s="382"/>
    </row>
    <row r="221" spans="2:11" ht="6.75" customHeight="1" x14ac:dyDescent="0.25">
      <c r="B221" s="193"/>
      <c r="F221" s="194"/>
    </row>
    <row r="222" spans="2:11" x14ac:dyDescent="0.25">
      <c r="B222" s="386" t="s">
        <v>294</v>
      </c>
      <c r="C222" s="387"/>
      <c r="D222" s="388">
        <f>C217*C220+F217*F220</f>
        <v>2870000</v>
      </c>
      <c r="E222" s="389"/>
      <c r="F222" s="390"/>
    </row>
    <row r="223" spans="2:11" x14ac:dyDescent="0.25">
      <c r="B223" s="193"/>
      <c r="F223" s="194"/>
    </row>
    <row r="224" spans="2:11" x14ac:dyDescent="0.25">
      <c r="B224" s="198" t="s">
        <v>293</v>
      </c>
      <c r="C224" s="360">
        <f>C215*D222</f>
        <v>7318499.9999999991</v>
      </c>
      <c r="D224" s="361"/>
      <c r="E224" s="361"/>
      <c r="F224" s="362"/>
    </row>
    <row r="225" spans="2:11" x14ac:dyDescent="0.25">
      <c r="B225" s="205" t="s">
        <v>375</v>
      </c>
      <c r="C225" s="383">
        <f>ROUNDDOWN(C224,-3)</f>
        <v>7318000</v>
      </c>
      <c r="D225" s="384"/>
      <c r="E225" s="384"/>
      <c r="F225" s="385"/>
    </row>
    <row r="226" spans="2:11" ht="6.75" customHeight="1" x14ac:dyDescent="0.25">
      <c r="B226" s="193"/>
      <c r="F226" s="194"/>
    </row>
    <row r="227" spans="2:11" x14ac:dyDescent="0.25">
      <c r="B227" s="198" t="s">
        <v>292</v>
      </c>
      <c r="C227" s="360">
        <f>C215*F217</f>
        <v>12367500</v>
      </c>
      <c r="D227" s="361"/>
      <c r="E227" s="361"/>
      <c r="F227" s="362"/>
    </row>
    <row r="228" spans="2:11" ht="6.75" customHeight="1" x14ac:dyDescent="0.25">
      <c r="B228" s="193"/>
      <c r="F228" s="194"/>
    </row>
    <row r="229" spans="2:11" x14ac:dyDescent="0.25">
      <c r="B229" s="198" t="s">
        <v>295</v>
      </c>
      <c r="C229" s="360">
        <f>C215*C217</f>
        <v>2269500</v>
      </c>
      <c r="D229" s="361"/>
      <c r="E229" s="361"/>
      <c r="F229" s="362"/>
    </row>
    <row r="230" spans="2:11" ht="15.75" thickBot="1" x14ac:dyDescent="0.3">
      <c r="B230" s="231"/>
      <c r="C230" s="335"/>
      <c r="D230" s="324"/>
      <c r="E230" s="324"/>
      <c r="F230" s="325"/>
    </row>
    <row r="231" spans="2:11" ht="15.75" hidden="1" x14ac:dyDescent="0.25">
      <c r="B231" s="339" t="s">
        <v>322</v>
      </c>
      <c r="C231" s="219"/>
      <c r="D231" s="219"/>
      <c r="E231" s="219"/>
      <c r="F231" s="332"/>
    </row>
    <row r="232" spans="2:11" ht="15.75" hidden="1" x14ac:dyDescent="0.25">
      <c r="B232" s="329" t="s">
        <v>20</v>
      </c>
      <c r="C232" s="336">
        <f>C40</f>
        <v>2</v>
      </c>
      <c r="D232" s="333"/>
      <c r="E232" s="5"/>
      <c r="F232" s="206"/>
      <c r="H232" s="192"/>
    </row>
    <row r="233" spans="2:11" ht="6" hidden="1" customHeight="1" x14ac:dyDescent="0.25">
      <c r="B233" s="193"/>
      <c r="F233" s="194"/>
    </row>
    <row r="234" spans="2:11" ht="15.75" hidden="1" x14ac:dyDescent="0.25">
      <c r="B234" s="195" t="s">
        <v>296</v>
      </c>
      <c r="C234" s="241">
        <v>5</v>
      </c>
      <c r="D234" s="333" t="s">
        <v>297</v>
      </c>
      <c r="E234" s="5"/>
      <c r="F234" s="206"/>
      <c r="H234" s="192" t="s">
        <v>365</v>
      </c>
    </row>
    <row r="235" spans="2:11" ht="6.75" hidden="1" customHeight="1" x14ac:dyDescent="0.25">
      <c r="B235" s="193"/>
      <c r="F235" s="194"/>
    </row>
    <row r="236" spans="2:11" hidden="1" x14ac:dyDescent="0.25">
      <c r="B236" s="195" t="s">
        <v>287</v>
      </c>
      <c r="C236" s="242">
        <v>1213000</v>
      </c>
      <c r="D236" t="s">
        <v>297</v>
      </c>
      <c r="E236" s="5" t="s">
        <v>288</v>
      </c>
      <c r="F236" s="243">
        <v>2000000</v>
      </c>
      <c r="H236" s="226" t="s">
        <v>366</v>
      </c>
      <c r="I236" s="379"/>
      <c r="J236" s="379"/>
      <c r="K236" s="379"/>
    </row>
    <row r="237" spans="2:11" ht="15" hidden="1" customHeight="1" x14ac:dyDescent="0.25">
      <c r="B237" s="195" t="s">
        <v>345</v>
      </c>
      <c r="C237" s="225" t="str">
        <f>NumToLakhBreak(C236)</f>
        <v>12 Lakh 13 Thousand</v>
      </c>
      <c r="D237" s="334"/>
      <c r="E237" s="334"/>
      <c r="F237" s="207"/>
      <c r="H237" s="226" t="s">
        <v>367</v>
      </c>
      <c r="I237" s="380"/>
      <c r="J237" s="380"/>
      <c r="K237" s="380"/>
    </row>
    <row r="238" spans="2:11" ht="6.75" hidden="1" customHeight="1" x14ac:dyDescent="0.25">
      <c r="B238" s="193"/>
      <c r="F238" s="194"/>
    </row>
    <row r="239" spans="2:11" hidden="1" x14ac:dyDescent="0.25">
      <c r="B239" s="197" t="s">
        <v>289</v>
      </c>
      <c r="C239" s="245" t="s">
        <v>344</v>
      </c>
      <c r="E239" s="151" t="s">
        <v>290</v>
      </c>
      <c r="F239" s="244" t="s">
        <v>344</v>
      </c>
      <c r="H239" s="162" t="s">
        <v>368</v>
      </c>
      <c r="I239" s="381"/>
      <c r="J239" s="382"/>
      <c r="K239" s="382"/>
    </row>
    <row r="240" spans="2:11" ht="6.75" hidden="1" customHeight="1" x14ac:dyDescent="0.25">
      <c r="B240" s="193"/>
      <c r="F240" s="194"/>
    </row>
    <row r="241" spans="2:11" hidden="1" x14ac:dyDescent="0.25">
      <c r="B241" s="386" t="s">
        <v>294</v>
      </c>
      <c r="C241" s="387"/>
      <c r="D241" s="388">
        <f>C236*C239+F236*F239</f>
        <v>1606500</v>
      </c>
      <c r="E241" s="389"/>
      <c r="F241" s="390"/>
    </row>
    <row r="242" spans="2:11" hidden="1" x14ac:dyDescent="0.25">
      <c r="B242" s="193"/>
      <c r="F242" s="194"/>
    </row>
    <row r="243" spans="2:11" hidden="1" x14ac:dyDescent="0.25">
      <c r="B243" s="198" t="s">
        <v>293</v>
      </c>
      <c r="C243" s="360">
        <f>C234*D241</f>
        <v>8032500</v>
      </c>
      <c r="D243" s="361"/>
      <c r="E243" s="361"/>
      <c r="F243" s="362"/>
    </row>
    <row r="244" spans="2:11" hidden="1" x14ac:dyDescent="0.25">
      <c r="B244" s="205" t="s">
        <v>375</v>
      </c>
      <c r="C244" s="383">
        <f>ROUNDDOWN(C243,-3)</f>
        <v>8032000</v>
      </c>
      <c r="D244" s="384"/>
      <c r="E244" s="384"/>
      <c r="F244" s="385"/>
    </row>
    <row r="245" spans="2:11" ht="6.75" hidden="1" customHeight="1" x14ac:dyDescent="0.25">
      <c r="B245" s="193"/>
      <c r="F245" s="194"/>
    </row>
    <row r="246" spans="2:11" hidden="1" x14ac:dyDescent="0.25">
      <c r="B246" s="198" t="s">
        <v>292</v>
      </c>
      <c r="C246" s="360">
        <f>C234*F236</f>
        <v>10000000</v>
      </c>
      <c r="D246" s="361"/>
      <c r="E246" s="361"/>
      <c r="F246" s="362"/>
    </row>
    <row r="247" spans="2:11" ht="6.75" hidden="1" customHeight="1" x14ac:dyDescent="0.25">
      <c r="B247" s="193"/>
      <c r="F247" s="194"/>
    </row>
    <row r="248" spans="2:11" hidden="1" x14ac:dyDescent="0.25">
      <c r="B248" s="198" t="s">
        <v>295</v>
      </c>
      <c r="C248" s="360">
        <f>C234*C236</f>
        <v>6065000</v>
      </c>
      <c r="D248" s="361"/>
      <c r="E248" s="361"/>
      <c r="F248" s="362"/>
    </row>
    <row r="249" spans="2:11" ht="15.75" hidden="1" thickBot="1" x14ac:dyDescent="0.3">
      <c r="B249" s="231"/>
      <c r="C249" s="335"/>
      <c r="D249" s="324"/>
      <c r="E249" s="324"/>
      <c r="F249" s="325"/>
    </row>
    <row r="250" spans="2:11" ht="15.75" hidden="1" x14ac:dyDescent="0.25">
      <c r="B250" s="339" t="s">
        <v>324</v>
      </c>
      <c r="C250" s="219"/>
      <c r="D250" s="219"/>
      <c r="E250" s="219"/>
      <c r="F250" s="332"/>
    </row>
    <row r="251" spans="2:11" ht="15.75" hidden="1" x14ac:dyDescent="0.25">
      <c r="B251" s="329" t="s">
        <v>20</v>
      </c>
      <c r="C251" s="336">
        <f>C49</f>
        <v>3</v>
      </c>
      <c r="D251" s="333"/>
      <c r="E251" s="5"/>
      <c r="F251" s="206"/>
      <c r="H251" s="192"/>
    </row>
    <row r="252" spans="2:11" ht="6" hidden="1" customHeight="1" x14ac:dyDescent="0.25">
      <c r="B252" s="193"/>
      <c r="F252" s="194"/>
    </row>
    <row r="253" spans="2:11" ht="15.75" hidden="1" x14ac:dyDescent="0.25">
      <c r="B253" s="195" t="s">
        <v>296</v>
      </c>
      <c r="C253" s="241">
        <v>5</v>
      </c>
      <c r="D253" s="333" t="s">
        <v>297</v>
      </c>
      <c r="E253" s="5"/>
      <c r="F253" s="206"/>
      <c r="H253" s="192" t="s">
        <v>365</v>
      </c>
    </row>
    <row r="254" spans="2:11" ht="6.75" hidden="1" customHeight="1" x14ac:dyDescent="0.25">
      <c r="B254" s="193"/>
      <c r="F254" s="194"/>
    </row>
    <row r="255" spans="2:11" hidden="1" x14ac:dyDescent="0.25">
      <c r="B255" s="195" t="s">
        <v>287</v>
      </c>
      <c r="C255" s="242">
        <v>1213000</v>
      </c>
      <c r="D255" t="s">
        <v>297</v>
      </c>
      <c r="E255" s="5" t="s">
        <v>288</v>
      </c>
      <c r="F255" s="243">
        <v>2000000</v>
      </c>
      <c r="H255" s="226" t="s">
        <v>366</v>
      </c>
      <c r="I255" s="379"/>
      <c r="J255" s="379"/>
      <c r="K255" s="379"/>
    </row>
    <row r="256" spans="2:11" ht="15" hidden="1" customHeight="1" x14ac:dyDescent="0.25">
      <c r="B256" s="195" t="s">
        <v>345</v>
      </c>
      <c r="C256" s="225" t="str">
        <f>NumToLakhBreak(C255)</f>
        <v>12 Lakh 13 Thousand</v>
      </c>
      <c r="D256" s="334"/>
      <c r="E256" s="334"/>
      <c r="F256" s="207"/>
      <c r="H256" s="226" t="s">
        <v>367</v>
      </c>
      <c r="I256" s="380"/>
      <c r="J256" s="380"/>
      <c r="K256" s="380"/>
    </row>
    <row r="257" spans="2:11" ht="6.75" hidden="1" customHeight="1" x14ac:dyDescent="0.25">
      <c r="B257" s="193"/>
      <c r="F257" s="194"/>
    </row>
    <row r="258" spans="2:11" hidden="1" x14ac:dyDescent="0.25">
      <c r="B258" s="197" t="s">
        <v>289</v>
      </c>
      <c r="C258" s="245" t="s">
        <v>344</v>
      </c>
      <c r="E258" s="151" t="s">
        <v>290</v>
      </c>
      <c r="F258" s="244" t="s">
        <v>344</v>
      </c>
      <c r="H258" s="162" t="s">
        <v>368</v>
      </c>
      <c r="I258" s="381"/>
      <c r="J258" s="382"/>
      <c r="K258" s="382"/>
    </row>
    <row r="259" spans="2:11" ht="6.75" hidden="1" customHeight="1" x14ac:dyDescent="0.25">
      <c r="B259" s="193"/>
      <c r="F259" s="194"/>
    </row>
    <row r="260" spans="2:11" hidden="1" x14ac:dyDescent="0.25">
      <c r="B260" s="386" t="s">
        <v>294</v>
      </c>
      <c r="C260" s="387"/>
      <c r="D260" s="388">
        <f>C255*C258+F255*F258</f>
        <v>1606500</v>
      </c>
      <c r="E260" s="389"/>
      <c r="F260" s="390"/>
    </row>
    <row r="261" spans="2:11" hidden="1" x14ac:dyDescent="0.25">
      <c r="B261" s="193"/>
      <c r="F261" s="194"/>
    </row>
    <row r="262" spans="2:11" hidden="1" x14ac:dyDescent="0.25">
      <c r="B262" s="198" t="s">
        <v>293</v>
      </c>
      <c r="C262" s="360">
        <f>C253*D260</f>
        <v>8032500</v>
      </c>
      <c r="D262" s="361"/>
      <c r="E262" s="361"/>
      <c r="F262" s="362"/>
    </row>
    <row r="263" spans="2:11" hidden="1" x14ac:dyDescent="0.25">
      <c r="B263" s="205" t="s">
        <v>375</v>
      </c>
      <c r="C263" s="383">
        <f>ROUNDDOWN(C262,-3)</f>
        <v>8032000</v>
      </c>
      <c r="D263" s="384"/>
      <c r="E263" s="384"/>
      <c r="F263" s="385"/>
    </row>
    <row r="264" spans="2:11" ht="6.75" hidden="1" customHeight="1" x14ac:dyDescent="0.25">
      <c r="B264" s="193"/>
      <c r="F264" s="194"/>
    </row>
    <row r="265" spans="2:11" hidden="1" x14ac:dyDescent="0.25">
      <c r="B265" s="198" t="s">
        <v>292</v>
      </c>
      <c r="C265" s="360">
        <f>C253*F255</f>
        <v>10000000</v>
      </c>
      <c r="D265" s="361"/>
      <c r="E265" s="361"/>
      <c r="F265" s="362"/>
    </row>
    <row r="266" spans="2:11" ht="6.75" hidden="1" customHeight="1" x14ac:dyDescent="0.25">
      <c r="B266" s="193"/>
      <c r="F266" s="194"/>
    </row>
    <row r="267" spans="2:11" hidden="1" x14ac:dyDescent="0.25">
      <c r="B267" s="198" t="s">
        <v>295</v>
      </c>
      <c r="C267" s="360">
        <f>C253*C255</f>
        <v>6065000</v>
      </c>
      <c r="D267" s="361"/>
      <c r="E267" s="361"/>
      <c r="F267" s="362"/>
    </row>
    <row r="268" spans="2:11" ht="15.75" hidden="1" thickBot="1" x14ac:dyDescent="0.3">
      <c r="B268" s="231"/>
      <c r="C268" s="335"/>
      <c r="D268" s="324"/>
      <c r="E268" s="324"/>
      <c r="F268" s="325"/>
    </row>
    <row r="269" spans="2:11" ht="15.75" hidden="1" x14ac:dyDescent="0.25">
      <c r="B269" s="339" t="s">
        <v>325</v>
      </c>
      <c r="C269" s="219"/>
      <c r="D269" s="219"/>
      <c r="E269" s="219"/>
      <c r="F269" s="332"/>
    </row>
    <row r="270" spans="2:11" ht="15.75" hidden="1" x14ac:dyDescent="0.25">
      <c r="B270" s="329" t="s">
        <v>20</v>
      </c>
      <c r="C270" s="336">
        <f>C58</f>
        <v>4</v>
      </c>
      <c r="D270" s="333"/>
      <c r="E270" s="5"/>
      <c r="F270" s="206"/>
      <c r="H270" s="192"/>
    </row>
    <row r="271" spans="2:11" ht="6" hidden="1" customHeight="1" x14ac:dyDescent="0.25">
      <c r="B271" s="193"/>
      <c r="F271" s="194"/>
    </row>
    <row r="272" spans="2:11" ht="15.75" hidden="1" x14ac:dyDescent="0.25">
      <c r="B272" s="195" t="s">
        <v>296</v>
      </c>
      <c r="C272" s="241">
        <v>5</v>
      </c>
      <c r="D272" s="333" t="s">
        <v>297</v>
      </c>
      <c r="E272" s="5"/>
      <c r="F272" s="206"/>
      <c r="H272" s="192" t="s">
        <v>365</v>
      </c>
    </row>
    <row r="273" spans="2:11" ht="6.75" hidden="1" customHeight="1" x14ac:dyDescent="0.25">
      <c r="B273" s="193"/>
      <c r="F273" s="194"/>
    </row>
    <row r="274" spans="2:11" hidden="1" x14ac:dyDescent="0.25">
      <c r="B274" s="195" t="s">
        <v>287</v>
      </c>
      <c r="C274" s="242">
        <v>1213000</v>
      </c>
      <c r="D274" t="s">
        <v>297</v>
      </c>
      <c r="E274" s="5" t="s">
        <v>288</v>
      </c>
      <c r="F274" s="243">
        <v>2000000</v>
      </c>
      <c r="H274" s="226" t="s">
        <v>366</v>
      </c>
      <c r="I274" s="379"/>
      <c r="J274" s="379"/>
      <c r="K274" s="379"/>
    </row>
    <row r="275" spans="2:11" ht="15" hidden="1" customHeight="1" x14ac:dyDescent="0.25">
      <c r="B275" s="195" t="s">
        <v>345</v>
      </c>
      <c r="C275" s="225" t="str">
        <f>NumToLakhBreak(C274)</f>
        <v>12 Lakh 13 Thousand</v>
      </c>
      <c r="D275" s="334"/>
      <c r="E275" s="334"/>
      <c r="F275" s="207"/>
      <c r="H275" s="226" t="s">
        <v>367</v>
      </c>
      <c r="I275" s="380"/>
      <c r="J275" s="380"/>
      <c r="K275" s="380"/>
    </row>
    <row r="276" spans="2:11" ht="6.75" hidden="1" customHeight="1" x14ac:dyDescent="0.25">
      <c r="B276" s="193"/>
      <c r="F276" s="194"/>
    </row>
    <row r="277" spans="2:11" hidden="1" x14ac:dyDescent="0.25">
      <c r="B277" s="197" t="s">
        <v>289</v>
      </c>
      <c r="C277" s="245" t="s">
        <v>344</v>
      </c>
      <c r="E277" s="151" t="s">
        <v>290</v>
      </c>
      <c r="F277" s="244" t="s">
        <v>344</v>
      </c>
      <c r="H277" s="162" t="s">
        <v>368</v>
      </c>
      <c r="I277" s="381"/>
      <c r="J277" s="382"/>
      <c r="K277" s="382"/>
    </row>
    <row r="278" spans="2:11" ht="6.75" hidden="1" customHeight="1" x14ac:dyDescent="0.25">
      <c r="B278" s="193"/>
      <c r="F278" s="194"/>
    </row>
    <row r="279" spans="2:11" hidden="1" x14ac:dyDescent="0.25">
      <c r="B279" s="386" t="s">
        <v>294</v>
      </c>
      <c r="C279" s="387"/>
      <c r="D279" s="388">
        <f>C274*C277+F274*F277</f>
        <v>1606500</v>
      </c>
      <c r="E279" s="389"/>
      <c r="F279" s="390"/>
    </row>
    <row r="280" spans="2:11" hidden="1" x14ac:dyDescent="0.25">
      <c r="B280" s="193"/>
      <c r="F280" s="194"/>
    </row>
    <row r="281" spans="2:11" hidden="1" x14ac:dyDescent="0.25">
      <c r="B281" s="198" t="s">
        <v>293</v>
      </c>
      <c r="C281" s="360">
        <f>C272*D279</f>
        <v>8032500</v>
      </c>
      <c r="D281" s="361"/>
      <c r="E281" s="361"/>
      <c r="F281" s="362"/>
    </row>
    <row r="282" spans="2:11" hidden="1" x14ac:dyDescent="0.25">
      <c r="B282" s="205" t="s">
        <v>375</v>
      </c>
      <c r="C282" s="383">
        <f>ROUNDDOWN(C281,-3)</f>
        <v>8032000</v>
      </c>
      <c r="D282" s="384"/>
      <c r="E282" s="384"/>
      <c r="F282" s="385"/>
    </row>
    <row r="283" spans="2:11" ht="6.75" hidden="1" customHeight="1" x14ac:dyDescent="0.25">
      <c r="B283" s="193"/>
      <c r="F283" s="194"/>
    </row>
    <row r="284" spans="2:11" hidden="1" x14ac:dyDescent="0.25">
      <c r="B284" s="198" t="s">
        <v>292</v>
      </c>
      <c r="C284" s="360">
        <f>C272*F274</f>
        <v>10000000</v>
      </c>
      <c r="D284" s="361"/>
      <c r="E284" s="361"/>
      <c r="F284" s="362"/>
    </row>
    <row r="285" spans="2:11" ht="6.75" hidden="1" customHeight="1" x14ac:dyDescent="0.25">
      <c r="B285" s="193"/>
      <c r="F285" s="194"/>
    </row>
    <row r="286" spans="2:11" hidden="1" x14ac:dyDescent="0.25">
      <c r="B286" s="198" t="s">
        <v>295</v>
      </c>
      <c r="C286" s="360">
        <f>C272*C274</f>
        <v>6065000</v>
      </c>
      <c r="D286" s="361"/>
      <c r="E286" s="361"/>
      <c r="F286" s="362"/>
    </row>
    <row r="287" spans="2:11" ht="15.75" hidden="1" thickBot="1" x14ac:dyDescent="0.3">
      <c r="B287" s="231"/>
      <c r="C287" s="335"/>
      <c r="D287" s="324"/>
      <c r="E287" s="324"/>
      <c r="F287" s="325"/>
    </row>
    <row r="288" spans="2:11" ht="15.75" hidden="1" x14ac:dyDescent="0.25">
      <c r="B288" s="339" t="s">
        <v>328</v>
      </c>
      <c r="C288" s="219"/>
      <c r="D288" s="219"/>
      <c r="E288" s="219"/>
      <c r="F288" s="332"/>
    </row>
    <row r="289" spans="2:11" ht="15.75" hidden="1" x14ac:dyDescent="0.25">
      <c r="B289" s="329" t="s">
        <v>20</v>
      </c>
      <c r="C289" s="336">
        <f>C67</f>
        <v>5</v>
      </c>
      <c r="D289" s="333"/>
      <c r="E289" s="5"/>
      <c r="F289" s="206"/>
      <c r="H289" s="192"/>
    </row>
    <row r="290" spans="2:11" ht="6" hidden="1" customHeight="1" x14ac:dyDescent="0.25">
      <c r="B290" s="193"/>
      <c r="F290" s="194"/>
    </row>
    <row r="291" spans="2:11" ht="15.75" hidden="1" x14ac:dyDescent="0.25">
      <c r="B291" s="195" t="s">
        <v>296</v>
      </c>
      <c r="C291" s="241">
        <v>5</v>
      </c>
      <c r="D291" s="333" t="s">
        <v>297</v>
      </c>
      <c r="E291" s="5"/>
      <c r="F291" s="206"/>
      <c r="H291" s="192" t="s">
        <v>365</v>
      </c>
    </row>
    <row r="292" spans="2:11" ht="6.75" hidden="1" customHeight="1" x14ac:dyDescent="0.25">
      <c r="B292" s="193"/>
      <c r="F292" s="194"/>
    </row>
    <row r="293" spans="2:11" hidden="1" x14ac:dyDescent="0.25">
      <c r="B293" s="195" t="s">
        <v>287</v>
      </c>
      <c r="C293" s="242">
        <v>1213000</v>
      </c>
      <c r="D293" t="s">
        <v>297</v>
      </c>
      <c r="E293" s="5" t="s">
        <v>288</v>
      </c>
      <c r="F293" s="243">
        <v>2000000</v>
      </c>
      <c r="H293" s="226" t="s">
        <v>366</v>
      </c>
      <c r="I293" s="379"/>
      <c r="J293" s="379"/>
      <c r="K293" s="379"/>
    </row>
    <row r="294" spans="2:11" ht="15" hidden="1" customHeight="1" x14ac:dyDescent="0.25">
      <c r="B294" s="195" t="s">
        <v>345</v>
      </c>
      <c r="C294" s="225" t="str">
        <f>NumToLakhBreak(C293)</f>
        <v>12 Lakh 13 Thousand</v>
      </c>
      <c r="D294" s="334"/>
      <c r="E294" s="334"/>
      <c r="F294" s="207"/>
      <c r="H294" s="226" t="s">
        <v>367</v>
      </c>
      <c r="I294" s="380"/>
      <c r="J294" s="380"/>
      <c r="K294" s="380"/>
    </row>
    <row r="295" spans="2:11" ht="6.75" hidden="1" customHeight="1" x14ac:dyDescent="0.25">
      <c r="B295" s="193"/>
      <c r="F295" s="194"/>
    </row>
    <row r="296" spans="2:11" hidden="1" x14ac:dyDescent="0.25">
      <c r="B296" s="197" t="s">
        <v>289</v>
      </c>
      <c r="C296" s="245" t="s">
        <v>344</v>
      </c>
      <c r="E296" s="151" t="s">
        <v>290</v>
      </c>
      <c r="F296" s="244" t="s">
        <v>344</v>
      </c>
      <c r="H296" s="162" t="s">
        <v>368</v>
      </c>
      <c r="I296" s="381"/>
      <c r="J296" s="382"/>
      <c r="K296" s="382"/>
    </row>
    <row r="297" spans="2:11" ht="6.75" hidden="1" customHeight="1" x14ac:dyDescent="0.25">
      <c r="B297" s="193"/>
      <c r="F297" s="194"/>
    </row>
    <row r="298" spans="2:11" hidden="1" x14ac:dyDescent="0.25">
      <c r="B298" s="386" t="s">
        <v>294</v>
      </c>
      <c r="C298" s="387"/>
      <c r="D298" s="388">
        <f>C293*C296+F293*F296</f>
        <v>1606500</v>
      </c>
      <c r="E298" s="389"/>
      <c r="F298" s="390"/>
    </row>
    <row r="299" spans="2:11" hidden="1" x14ac:dyDescent="0.25">
      <c r="B299" s="193"/>
      <c r="F299" s="194"/>
    </row>
    <row r="300" spans="2:11" hidden="1" x14ac:dyDescent="0.25">
      <c r="B300" s="198" t="s">
        <v>293</v>
      </c>
      <c r="C300" s="360">
        <f>C291*D298</f>
        <v>8032500</v>
      </c>
      <c r="D300" s="361"/>
      <c r="E300" s="361"/>
      <c r="F300" s="362"/>
    </row>
    <row r="301" spans="2:11" hidden="1" x14ac:dyDescent="0.25">
      <c r="B301" s="205" t="s">
        <v>375</v>
      </c>
      <c r="C301" s="383">
        <f>ROUNDDOWN(C300,-3)</f>
        <v>8032000</v>
      </c>
      <c r="D301" s="384"/>
      <c r="E301" s="384"/>
      <c r="F301" s="385"/>
    </row>
    <row r="302" spans="2:11" ht="6.75" hidden="1" customHeight="1" x14ac:dyDescent="0.25">
      <c r="B302" s="193"/>
      <c r="F302" s="194"/>
    </row>
    <row r="303" spans="2:11" hidden="1" x14ac:dyDescent="0.25">
      <c r="B303" s="198" t="s">
        <v>292</v>
      </c>
      <c r="C303" s="360">
        <f>C291*F293</f>
        <v>10000000</v>
      </c>
      <c r="D303" s="361"/>
      <c r="E303" s="361"/>
      <c r="F303" s="362"/>
    </row>
    <row r="304" spans="2:11" ht="6.75" hidden="1" customHeight="1" x14ac:dyDescent="0.25">
      <c r="B304" s="193"/>
      <c r="F304" s="194"/>
    </row>
    <row r="305" spans="2:11" hidden="1" x14ac:dyDescent="0.25">
      <c r="B305" s="198" t="s">
        <v>295</v>
      </c>
      <c r="C305" s="360">
        <f>C291*C293</f>
        <v>6065000</v>
      </c>
      <c r="D305" s="361"/>
      <c r="E305" s="361"/>
      <c r="F305" s="362"/>
    </row>
    <row r="306" spans="2:11" ht="15.75" hidden="1" thickBot="1" x14ac:dyDescent="0.3">
      <c r="B306" s="231"/>
      <c r="C306" s="335"/>
      <c r="D306" s="324"/>
      <c r="E306" s="324"/>
      <c r="F306" s="325"/>
    </row>
    <row r="307" spans="2:11" ht="15.75" hidden="1" x14ac:dyDescent="0.25">
      <c r="B307" s="339" t="s">
        <v>502</v>
      </c>
      <c r="C307" s="219"/>
      <c r="D307" s="219"/>
      <c r="E307" s="219"/>
      <c r="F307" s="332"/>
    </row>
    <row r="308" spans="2:11" ht="15.75" hidden="1" x14ac:dyDescent="0.25">
      <c r="B308" s="329" t="s">
        <v>20</v>
      </c>
      <c r="C308" s="336">
        <f>C76</f>
        <v>6</v>
      </c>
      <c r="D308" s="333"/>
      <c r="E308" s="5"/>
      <c r="F308" s="206"/>
      <c r="H308" s="192"/>
    </row>
    <row r="309" spans="2:11" ht="6" hidden="1" customHeight="1" x14ac:dyDescent="0.25">
      <c r="B309" s="193"/>
      <c r="F309" s="194"/>
    </row>
    <row r="310" spans="2:11" ht="15.75" hidden="1" x14ac:dyDescent="0.25">
      <c r="B310" s="195" t="s">
        <v>296</v>
      </c>
      <c r="C310" s="241">
        <v>5</v>
      </c>
      <c r="D310" s="333" t="s">
        <v>297</v>
      </c>
      <c r="E310" s="5"/>
      <c r="F310" s="206"/>
      <c r="H310" s="192" t="s">
        <v>365</v>
      </c>
    </row>
    <row r="311" spans="2:11" ht="6.75" hidden="1" customHeight="1" x14ac:dyDescent="0.25">
      <c r="B311" s="193"/>
      <c r="F311" s="194"/>
    </row>
    <row r="312" spans="2:11" hidden="1" x14ac:dyDescent="0.25">
      <c r="B312" s="195" t="s">
        <v>287</v>
      </c>
      <c r="C312" s="242">
        <v>1213000</v>
      </c>
      <c r="D312" t="s">
        <v>297</v>
      </c>
      <c r="E312" s="5" t="s">
        <v>288</v>
      </c>
      <c r="F312" s="243">
        <v>2000000</v>
      </c>
      <c r="H312" s="226" t="s">
        <v>366</v>
      </c>
      <c r="I312" s="379"/>
      <c r="J312" s="379"/>
      <c r="K312" s="379"/>
    </row>
    <row r="313" spans="2:11" ht="15" hidden="1" customHeight="1" x14ac:dyDescent="0.25">
      <c r="B313" s="195" t="s">
        <v>345</v>
      </c>
      <c r="C313" s="225" t="str">
        <f>NumToLakhBreak(C312)</f>
        <v>12 Lakh 13 Thousand</v>
      </c>
      <c r="D313" s="334"/>
      <c r="E313" s="334"/>
      <c r="F313" s="207"/>
      <c r="H313" s="226" t="s">
        <v>367</v>
      </c>
      <c r="I313" s="380"/>
      <c r="J313" s="380"/>
      <c r="K313" s="380"/>
    </row>
    <row r="314" spans="2:11" ht="6.75" hidden="1" customHeight="1" x14ac:dyDescent="0.25">
      <c r="B314" s="193"/>
      <c r="F314" s="194"/>
    </row>
    <row r="315" spans="2:11" hidden="1" x14ac:dyDescent="0.25">
      <c r="B315" s="197" t="s">
        <v>289</v>
      </c>
      <c r="C315" s="245" t="s">
        <v>344</v>
      </c>
      <c r="E315" s="151" t="s">
        <v>290</v>
      </c>
      <c r="F315" s="244" t="s">
        <v>344</v>
      </c>
      <c r="H315" s="162" t="s">
        <v>368</v>
      </c>
      <c r="I315" s="381"/>
      <c r="J315" s="382"/>
      <c r="K315" s="382"/>
    </row>
    <row r="316" spans="2:11" ht="6.75" hidden="1" customHeight="1" x14ac:dyDescent="0.25">
      <c r="B316" s="193"/>
      <c r="F316" s="194"/>
    </row>
    <row r="317" spans="2:11" hidden="1" x14ac:dyDescent="0.25">
      <c r="B317" s="386" t="s">
        <v>294</v>
      </c>
      <c r="C317" s="387"/>
      <c r="D317" s="388">
        <f>C312*C315+F312*F315</f>
        <v>1606500</v>
      </c>
      <c r="E317" s="389"/>
      <c r="F317" s="390"/>
    </row>
    <row r="318" spans="2:11" hidden="1" x14ac:dyDescent="0.25">
      <c r="B318" s="193"/>
      <c r="F318" s="194"/>
    </row>
    <row r="319" spans="2:11" hidden="1" x14ac:dyDescent="0.25">
      <c r="B319" s="198" t="s">
        <v>293</v>
      </c>
      <c r="C319" s="360">
        <f>C310*D317</f>
        <v>8032500</v>
      </c>
      <c r="D319" s="361"/>
      <c r="E319" s="361"/>
      <c r="F319" s="362"/>
    </row>
    <row r="320" spans="2:11" hidden="1" x14ac:dyDescent="0.25">
      <c r="B320" s="205" t="s">
        <v>375</v>
      </c>
      <c r="C320" s="383">
        <f>ROUNDDOWN(C319,-3)</f>
        <v>8032000</v>
      </c>
      <c r="D320" s="384"/>
      <c r="E320" s="384"/>
      <c r="F320" s="385"/>
    </row>
    <row r="321" spans="2:11" ht="6.75" hidden="1" customHeight="1" x14ac:dyDescent="0.25">
      <c r="B321" s="193"/>
      <c r="F321" s="194"/>
    </row>
    <row r="322" spans="2:11" hidden="1" x14ac:dyDescent="0.25">
      <c r="B322" s="198" t="s">
        <v>292</v>
      </c>
      <c r="C322" s="360">
        <f>C310*F312</f>
        <v>10000000</v>
      </c>
      <c r="D322" s="361"/>
      <c r="E322" s="361"/>
      <c r="F322" s="362"/>
    </row>
    <row r="323" spans="2:11" ht="6.75" hidden="1" customHeight="1" x14ac:dyDescent="0.25">
      <c r="B323" s="193"/>
      <c r="F323" s="194"/>
    </row>
    <row r="324" spans="2:11" hidden="1" x14ac:dyDescent="0.25">
      <c r="B324" s="198" t="s">
        <v>295</v>
      </c>
      <c r="C324" s="360">
        <f>C310*C312</f>
        <v>6065000</v>
      </c>
      <c r="D324" s="361"/>
      <c r="E324" s="361"/>
      <c r="F324" s="362"/>
    </row>
    <row r="325" spans="2:11" ht="15.75" hidden="1" thickBot="1" x14ac:dyDescent="0.3">
      <c r="B325" s="231"/>
      <c r="C325" s="335"/>
      <c r="D325" s="324"/>
      <c r="E325" s="324"/>
      <c r="F325" s="325"/>
    </row>
    <row r="326" spans="2:11" ht="15.75" hidden="1" x14ac:dyDescent="0.25">
      <c r="B326" s="339" t="s">
        <v>503</v>
      </c>
      <c r="C326" s="219"/>
      <c r="D326" s="219"/>
      <c r="E326" s="219"/>
      <c r="F326" s="332"/>
    </row>
    <row r="327" spans="2:11" ht="15.75" hidden="1" x14ac:dyDescent="0.25">
      <c r="B327" s="329" t="s">
        <v>20</v>
      </c>
      <c r="C327" s="336">
        <f>C85</f>
        <v>7</v>
      </c>
      <c r="D327" s="333"/>
      <c r="E327" s="5"/>
      <c r="F327" s="206"/>
      <c r="H327" s="192"/>
    </row>
    <row r="328" spans="2:11" ht="6" hidden="1" customHeight="1" x14ac:dyDescent="0.25">
      <c r="B328" s="193"/>
      <c r="F328" s="194"/>
    </row>
    <row r="329" spans="2:11" ht="15.75" hidden="1" x14ac:dyDescent="0.25">
      <c r="B329" s="195" t="s">
        <v>296</v>
      </c>
      <c r="C329" s="241">
        <v>5</v>
      </c>
      <c r="D329" s="333" t="s">
        <v>297</v>
      </c>
      <c r="E329" s="5"/>
      <c r="F329" s="206"/>
      <c r="H329" s="192" t="s">
        <v>365</v>
      </c>
    </row>
    <row r="330" spans="2:11" ht="6.75" hidden="1" customHeight="1" x14ac:dyDescent="0.25">
      <c r="B330" s="193"/>
      <c r="F330" s="194"/>
    </row>
    <row r="331" spans="2:11" hidden="1" x14ac:dyDescent="0.25">
      <c r="B331" s="195" t="s">
        <v>287</v>
      </c>
      <c r="C331" s="242">
        <v>1213000</v>
      </c>
      <c r="D331" t="s">
        <v>297</v>
      </c>
      <c r="E331" s="5" t="s">
        <v>288</v>
      </c>
      <c r="F331" s="243">
        <v>2000000</v>
      </c>
      <c r="H331" s="226" t="s">
        <v>366</v>
      </c>
      <c r="I331" s="379"/>
      <c r="J331" s="379"/>
      <c r="K331" s="379"/>
    </row>
    <row r="332" spans="2:11" ht="15" hidden="1" customHeight="1" x14ac:dyDescent="0.25">
      <c r="B332" s="195" t="s">
        <v>345</v>
      </c>
      <c r="C332" s="225" t="str">
        <f>NumToLakhBreak(C331)</f>
        <v>12 Lakh 13 Thousand</v>
      </c>
      <c r="D332" s="334"/>
      <c r="E332" s="334"/>
      <c r="F332" s="207"/>
      <c r="H332" s="226" t="s">
        <v>367</v>
      </c>
      <c r="I332" s="380"/>
      <c r="J332" s="380"/>
      <c r="K332" s="380"/>
    </row>
    <row r="333" spans="2:11" ht="6.75" hidden="1" customHeight="1" x14ac:dyDescent="0.25">
      <c r="B333" s="193"/>
      <c r="F333" s="194"/>
    </row>
    <row r="334" spans="2:11" hidden="1" x14ac:dyDescent="0.25">
      <c r="B334" s="197" t="s">
        <v>289</v>
      </c>
      <c r="C334" s="245" t="s">
        <v>344</v>
      </c>
      <c r="E334" s="151" t="s">
        <v>290</v>
      </c>
      <c r="F334" s="244" t="s">
        <v>344</v>
      </c>
      <c r="H334" s="162" t="s">
        <v>368</v>
      </c>
      <c r="I334" s="381"/>
      <c r="J334" s="382"/>
      <c r="K334" s="382"/>
    </row>
    <row r="335" spans="2:11" ht="6.75" hidden="1" customHeight="1" x14ac:dyDescent="0.25">
      <c r="B335" s="193"/>
      <c r="F335" s="194"/>
    </row>
    <row r="336" spans="2:11" hidden="1" x14ac:dyDescent="0.25">
      <c r="B336" s="386" t="s">
        <v>294</v>
      </c>
      <c r="C336" s="387"/>
      <c r="D336" s="388">
        <f>C331*C334+F331*F334</f>
        <v>1606500</v>
      </c>
      <c r="E336" s="389"/>
      <c r="F336" s="390"/>
    </row>
    <row r="337" spans="2:11" hidden="1" x14ac:dyDescent="0.25">
      <c r="B337" s="193"/>
      <c r="F337" s="194"/>
    </row>
    <row r="338" spans="2:11" hidden="1" x14ac:dyDescent="0.25">
      <c r="B338" s="198" t="s">
        <v>293</v>
      </c>
      <c r="C338" s="360">
        <f>C329*D336</f>
        <v>8032500</v>
      </c>
      <c r="D338" s="361"/>
      <c r="E338" s="361"/>
      <c r="F338" s="362"/>
    </row>
    <row r="339" spans="2:11" hidden="1" x14ac:dyDescent="0.25">
      <c r="B339" s="205" t="s">
        <v>375</v>
      </c>
      <c r="C339" s="383">
        <f>ROUNDDOWN(C338,-3)</f>
        <v>8032000</v>
      </c>
      <c r="D339" s="384"/>
      <c r="E339" s="384"/>
      <c r="F339" s="385"/>
    </row>
    <row r="340" spans="2:11" ht="6.75" hidden="1" customHeight="1" x14ac:dyDescent="0.25">
      <c r="B340" s="193"/>
      <c r="F340" s="194"/>
    </row>
    <row r="341" spans="2:11" hidden="1" x14ac:dyDescent="0.25">
      <c r="B341" s="198" t="s">
        <v>292</v>
      </c>
      <c r="C341" s="360">
        <f>C329*F331</f>
        <v>10000000</v>
      </c>
      <c r="D341" s="361"/>
      <c r="E341" s="361"/>
      <c r="F341" s="362"/>
    </row>
    <row r="342" spans="2:11" ht="6.75" hidden="1" customHeight="1" x14ac:dyDescent="0.25">
      <c r="B342" s="193"/>
      <c r="F342" s="194"/>
    </row>
    <row r="343" spans="2:11" hidden="1" x14ac:dyDescent="0.25">
      <c r="B343" s="198" t="s">
        <v>295</v>
      </c>
      <c r="C343" s="360">
        <f>C329*C331</f>
        <v>6065000</v>
      </c>
      <c r="D343" s="361"/>
      <c r="E343" s="361"/>
      <c r="F343" s="362"/>
    </row>
    <row r="344" spans="2:11" ht="15.75" hidden="1" thickBot="1" x14ac:dyDescent="0.3">
      <c r="B344" s="231"/>
      <c r="C344" s="335"/>
      <c r="D344" s="324"/>
      <c r="E344" s="324"/>
      <c r="F344" s="325"/>
    </row>
    <row r="345" spans="2:11" ht="15.75" hidden="1" x14ac:dyDescent="0.25">
      <c r="B345" s="339" t="s">
        <v>504</v>
      </c>
      <c r="C345" s="219"/>
      <c r="D345" s="219"/>
      <c r="E345" s="219"/>
      <c r="F345" s="332"/>
    </row>
    <row r="346" spans="2:11" ht="15.75" hidden="1" x14ac:dyDescent="0.25">
      <c r="B346" s="329" t="s">
        <v>20</v>
      </c>
      <c r="C346" s="336">
        <f>C94</f>
        <v>8</v>
      </c>
      <c r="D346" s="333"/>
      <c r="E346" s="5"/>
      <c r="F346" s="206"/>
      <c r="H346" s="192"/>
    </row>
    <row r="347" spans="2:11" ht="6" hidden="1" customHeight="1" x14ac:dyDescent="0.25">
      <c r="B347" s="193"/>
      <c r="F347" s="194"/>
    </row>
    <row r="348" spans="2:11" ht="15.75" hidden="1" x14ac:dyDescent="0.25">
      <c r="B348" s="195" t="s">
        <v>296</v>
      </c>
      <c r="C348" s="241">
        <v>5</v>
      </c>
      <c r="D348" s="333" t="s">
        <v>297</v>
      </c>
      <c r="E348" s="5"/>
      <c r="F348" s="206"/>
      <c r="H348" s="192" t="s">
        <v>365</v>
      </c>
    </row>
    <row r="349" spans="2:11" ht="6.75" hidden="1" customHeight="1" x14ac:dyDescent="0.25">
      <c r="B349" s="193"/>
      <c r="F349" s="194"/>
    </row>
    <row r="350" spans="2:11" hidden="1" x14ac:dyDescent="0.25">
      <c r="B350" s="195" t="s">
        <v>287</v>
      </c>
      <c r="C350" s="242">
        <v>1213000</v>
      </c>
      <c r="D350" t="s">
        <v>297</v>
      </c>
      <c r="E350" s="5" t="s">
        <v>288</v>
      </c>
      <c r="F350" s="243">
        <v>2000000</v>
      </c>
      <c r="H350" s="226" t="s">
        <v>366</v>
      </c>
      <c r="I350" s="379"/>
      <c r="J350" s="379"/>
      <c r="K350" s="379"/>
    </row>
    <row r="351" spans="2:11" ht="15" hidden="1" customHeight="1" x14ac:dyDescent="0.25">
      <c r="B351" s="195" t="s">
        <v>345</v>
      </c>
      <c r="C351" s="225" t="str">
        <f>NumToLakhBreak(C350)</f>
        <v>12 Lakh 13 Thousand</v>
      </c>
      <c r="D351" s="334"/>
      <c r="E351" s="334"/>
      <c r="F351" s="207"/>
      <c r="H351" s="226" t="s">
        <v>367</v>
      </c>
      <c r="I351" s="380"/>
      <c r="J351" s="380"/>
      <c r="K351" s="380"/>
    </row>
    <row r="352" spans="2:11" ht="6.75" hidden="1" customHeight="1" x14ac:dyDescent="0.25">
      <c r="B352" s="193"/>
      <c r="F352" s="194"/>
    </row>
    <row r="353" spans="2:11" hidden="1" x14ac:dyDescent="0.25">
      <c r="B353" s="197" t="s">
        <v>289</v>
      </c>
      <c r="C353" s="245" t="s">
        <v>344</v>
      </c>
      <c r="E353" s="151" t="s">
        <v>290</v>
      </c>
      <c r="F353" s="244" t="s">
        <v>344</v>
      </c>
      <c r="H353" s="162" t="s">
        <v>368</v>
      </c>
      <c r="I353" s="381"/>
      <c r="J353" s="382"/>
      <c r="K353" s="382"/>
    </row>
    <row r="354" spans="2:11" ht="6.75" hidden="1" customHeight="1" x14ac:dyDescent="0.25">
      <c r="B354" s="193"/>
      <c r="F354" s="194"/>
    </row>
    <row r="355" spans="2:11" hidden="1" x14ac:dyDescent="0.25">
      <c r="B355" s="386" t="s">
        <v>294</v>
      </c>
      <c r="C355" s="387"/>
      <c r="D355" s="388">
        <f>C350*C353+F350*F353</f>
        <v>1606500</v>
      </c>
      <c r="E355" s="389"/>
      <c r="F355" s="390"/>
    </row>
    <row r="356" spans="2:11" hidden="1" x14ac:dyDescent="0.25">
      <c r="B356" s="193"/>
      <c r="F356" s="194"/>
    </row>
    <row r="357" spans="2:11" hidden="1" x14ac:dyDescent="0.25">
      <c r="B357" s="198" t="s">
        <v>293</v>
      </c>
      <c r="C357" s="360">
        <f>C348*D355</f>
        <v>8032500</v>
      </c>
      <c r="D357" s="361"/>
      <c r="E357" s="361"/>
      <c r="F357" s="362"/>
    </row>
    <row r="358" spans="2:11" hidden="1" x14ac:dyDescent="0.25">
      <c r="B358" s="205" t="s">
        <v>375</v>
      </c>
      <c r="C358" s="383">
        <f>ROUNDDOWN(C357,-3)</f>
        <v>8032000</v>
      </c>
      <c r="D358" s="384"/>
      <c r="E358" s="384"/>
      <c r="F358" s="385"/>
    </row>
    <row r="359" spans="2:11" ht="6.75" hidden="1" customHeight="1" x14ac:dyDescent="0.25">
      <c r="B359" s="193"/>
      <c r="F359" s="194"/>
    </row>
    <row r="360" spans="2:11" hidden="1" x14ac:dyDescent="0.25">
      <c r="B360" s="198" t="s">
        <v>292</v>
      </c>
      <c r="C360" s="360">
        <f>C348*F350</f>
        <v>10000000</v>
      </c>
      <c r="D360" s="361"/>
      <c r="E360" s="361"/>
      <c r="F360" s="362"/>
    </row>
    <row r="361" spans="2:11" ht="6.75" hidden="1" customHeight="1" x14ac:dyDescent="0.25">
      <c r="B361" s="193"/>
      <c r="F361" s="194"/>
    </row>
    <row r="362" spans="2:11" hidden="1" x14ac:dyDescent="0.25">
      <c r="B362" s="198" t="s">
        <v>295</v>
      </c>
      <c r="C362" s="360">
        <f>C348*C350</f>
        <v>6065000</v>
      </c>
      <c r="D362" s="361"/>
      <c r="E362" s="361"/>
      <c r="F362" s="362"/>
    </row>
    <row r="363" spans="2:11" ht="15.75" hidden="1" thickBot="1" x14ac:dyDescent="0.3">
      <c r="B363" s="231"/>
      <c r="C363" s="335"/>
      <c r="D363" s="324"/>
      <c r="E363" s="324"/>
      <c r="F363" s="325"/>
    </row>
    <row r="364" spans="2:11" ht="15.75" hidden="1" x14ac:dyDescent="0.25">
      <c r="B364" s="339" t="s">
        <v>501</v>
      </c>
      <c r="C364" s="219"/>
      <c r="D364" s="219"/>
      <c r="E364" s="219"/>
      <c r="F364" s="332"/>
    </row>
    <row r="365" spans="2:11" ht="15.75" hidden="1" x14ac:dyDescent="0.25">
      <c r="B365" s="329" t="s">
        <v>20</v>
      </c>
      <c r="C365" s="336">
        <f>C103</f>
        <v>9</v>
      </c>
      <c r="D365" s="333"/>
      <c r="E365" s="5"/>
      <c r="F365" s="206"/>
      <c r="H365" s="192"/>
    </row>
    <row r="366" spans="2:11" ht="6" hidden="1" customHeight="1" x14ac:dyDescent="0.25">
      <c r="B366" s="193"/>
      <c r="F366" s="194"/>
    </row>
    <row r="367" spans="2:11" ht="15.75" hidden="1" x14ac:dyDescent="0.25">
      <c r="B367" s="195" t="s">
        <v>296</v>
      </c>
      <c r="C367" s="241">
        <v>5</v>
      </c>
      <c r="D367" s="333" t="s">
        <v>297</v>
      </c>
      <c r="E367" s="5"/>
      <c r="F367" s="206"/>
      <c r="H367" s="192" t="s">
        <v>365</v>
      </c>
    </row>
    <row r="368" spans="2:11" ht="6.75" hidden="1" customHeight="1" x14ac:dyDescent="0.25">
      <c r="B368" s="193"/>
      <c r="F368" s="194"/>
    </row>
    <row r="369" spans="2:11" hidden="1" x14ac:dyDescent="0.25">
      <c r="B369" s="195" t="s">
        <v>287</v>
      </c>
      <c r="C369" s="242">
        <v>1213000</v>
      </c>
      <c r="D369" t="s">
        <v>297</v>
      </c>
      <c r="E369" s="5" t="s">
        <v>288</v>
      </c>
      <c r="F369" s="243">
        <v>2000000</v>
      </c>
      <c r="H369" s="226" t="s">
        <v>366</v>
      </c>
      <c r="I369" s="379"/>
      <c r="J369" s="379"/>
      <c r="K369" s="379"/>
    </row>
    <row r="370" spans="2:11" ht="15" hidden="1" customHeight="1" x14ac:dyDescent="0.25">
      <c r="B370" s="195" t="s">
        <v>345</v>
      </c>
      <c r="C370" s="225" t="str">
        <f>NumToLakhBreak(C369)</f>
        <v>12 Lakh 13 Thousand</v>
      </c>
      <c r="D370" s="334"/>
      <c r="E370" s="334"/>
      <c r="F370" s="207"/>
      <c r="H370" s="226" t="s">
        <v>367</v>
      </c>
      <c r="I370" s="380"/>
      <c r="J370" s="380"/>
      <c r="K370" s="380"/>
    </row>
    <row r="371" spans="2:11" ht="6.75" hidden="1" customHeight="1" x14ac:dyDescent="0.25">
      <c r="B371" s="193"/>
      <c r="F371" s="194"/>
    </row>
    <row r="372" spans="2:11" hidden="1" x14ac:dyDescent="0.25">
      <c r="B372" s="197" t="s">
        <v>289</v>
      </c>
      <c r="C372" s="245" t="s">
        <v>344</v>
      </c>
      <c r="E372" s="151" t="s">
        <v>290</v>
      </c>
      <c r="F372" s="244" t="s">
        <v>344</v>
      </c>
      <c r="H372" s="162" t="s">
        <v>368</v>
      </c>
      <c r="I372" s="381"/>
      <c r="J372" s="382"/>
      <c r="K372" s="382"/>
    </row>
    <row r="373" spans="2:11" ht="6.75" hidden="1" customHeight="1" x14ac:dyDescent="0.25">
      <c r="B373" s="193"/>
      <c r="F373" s="194"/>
    </row>
    <row r="374" spans="2:11" hidden="1" x14ac:dyDescent="0.25">
      <c r="B374" s="386" t="s">
        <v>294</v>
      </c>
      <c r="C374" s="387"/>
      <c r="D374" s="388">
        <f>C369*C372+F369*F372</f>
        <v>1606500</v>
      </c>
      <c r="E374" s="389"/>
      <c r="F374" s="390"/>
    </row>
    <row r="375" spans="2:11" hidden="1" x14ac:dyDescent="0.25">
      <c r="B375" s="193"/>
      <c r="F375" s="194"/>
    </row>
    <row r="376" spans="2:11" hidden="1" x14ac:dyDescent="0.25">
      <c r="B376" s="198" t="s">
        <v>293</v>
      </c>
      <c r="C376" s="360">
        <f>C367*D374</f>
        <v>8032500</v>
      </c>
      <c r="D376" s="361"/>
      <c r="E376" s="361"/>
      <c r="F376" s="362"/>
    </row>
    <row r="377" spans="2:11" hidden="1" x14ac:dyDescent="0.25">
      <c r="B377" s="205" t="s">
        <v>375</v>
      </c>
      <c r="C377" s="383">
        <f>ROUNDDOWN(C376,-3)</f>
        <v>8032000</v>
      </c>
      <c r="D377" s="384"/>
      <c r="E377" s="384"/>
      <c r="F377" s="385"/>
    </row>
    <row r="378" spans="2:11" ht="6.75" hidden="1" customHeight="1" x14ac:dyDescent="0.25">
      <c r="B378" s="193"/>
      <c r="F378" s="194"/>
    </row>
    <row r="379" spans="2:11" hidden="1" x14ac:dyDescent="0.25">
      <c r="B379" s="198" t="s">
        <v>292</v>
      </c>
      <c r="C379" s="360">
        <f>C367*F369</f>
        <v>10000000</v>
      </c>
      <c r="D379" s="361"/>
      <c r="E379" s="361"/>
      <c r="F379" s="362"/>
    </row>
    <row r="380" spans="2:11" ht="6.75" hidden="1" customHeight="1" x14ac:dyDescent="0.25">
      <c r="B380" s="193"/>
      <c r="F380" s="194"/>
    </row>
    <row r="381" spans="2:11" hidden="1" x14ac:dyDescent="0.25">
      <c r="B381" s="198" t="s">
        <v>295</v>
      </c>
      <c r="C381" s="360">
        <f>C367*C369</f>
        <v>6065000</v>
      </c>
      <c r="D381" s="361"/>
      <c r="E381" s="361"/>
      <c r="F381" s="362"/>
    </row>
    <row r="382" spans="2:11" ht="15.75" hidden="1" thickBot="1" x14ac:dyDescent="0.3">
      <c r="B382" s="231"/>
      <c r="C382" s="335"/>
      <c r="D382" s="324"/>
      <c r="E382" s="324"/>
      <c r="F382" s="325"/>
    </row>
    <row r="383" spans="2:11" ht="15.75" hidden="1" x14ac:dyDescent="0.25">
      <c r="B383" s="339" t="s">
        <v>500</v>
      </c>
      <c r="C383" s="219"/>
      <c r="D383" s="219"/>
      <c r="E383" s="219"/>
      <c r="F383" s="332"/>
    </row>
    <row r="384" spans="2:11" ht="15.75" hidden="1" x14ac:dyDescent="0.25">
      <c r="B384" s="329" t="s">
        <v>20</v>
      </c>
      <c r="C384" s="336">
        <f>C112</f>
        <v>10</v>
      </c>
      <c r="D384" s="333"/>
      <c r="E384" s="5"/>
      <c r="F384" s="206"/>
      <c r="H384" s="192"/>
    </row>
    <row r="385" spans="2:11" ht="6" hidden="1" customHeight="1" x14ac:dyDescent="0.25">
      <c r="B385" s="193"/>
      <c r="F385" s="194"/>
    </row>
    <row r="386" spans="2:11" ht="15.75" hidden="1" x14ac:dyDescent="0.25">
      <c r="B386" s="195" t="s">
        <v>296</v>
      </c>
      <c r="C386" s="241">
        <v>5</v>
      </c>
      <c r="D386" s="333" t="s">
        <v>297</v>
      </c>
      <c r="E386" s="5"/>
      <c r="F386" s="206"/>
      <c r="H386" s="192" t="s">
        <v>365</v>
      </c>
    </row>
    <row r="387" spans="2:11" ht="6.75" hidden="1" customHeight="1" x14ac:dyDescent="0.25">
      <c r="B387" s="193"/>
      <c r="F387" s="194"/>
    </row>
    <row r="388" spans="2:11" hidden="1" x14ac:dyDescent="0.25">
      <c r="B388" s="195" t="s">
        <v>287</v>
      </c>
      <c r="C388" s="242">
        <v>1213000</v>
      </c>
      <c r="D388" t="s">
        <v>297</v>
      </c>
      <c r="E388" s="5" t="s">
        <v>288</v>
      </c>
      <c r="F388" s="243">
        <v>2000000</v>
      </c>
      <c r="H388" s="226" t="s">
        <v>366</v>
      </c>
      <c r="I388" s="379"/>
      <c r="J388" s="379"/>
      <c r="K388" s="379"/>
    </row>
    <row r="389" spans="2:11" ht="15" hidden="1" customHeight="1" x14ac:dyDescent="0.25">
      <c r="B389" s="195" t="s">
        <v>345</v>
      </c>
      <c r="C389" s="225" t="str">
        <f>NumToLakhBreak(C388)</f>
        <v>12 Lakh 13 Thousand</v>
      </c>
      <c r="D389" s="334"/>
      <c r="E389" s="334"/>
      <c r="F389" s="207"/>
      <c r="H389" s="226" t="s">
        <v>367</v>
      </c>
      <c r="I389" s="380"/>
      <c r="J389" s="380"/>
      <c r="K389" s="380"/>
    </row>
    <row r="390" spans="2:11" ht="6.75" hidden="1" customHeight="1" x14ac:dyDescent="0.25">
      <c r="B390" s="193"/>
      <c r="F390" s="194"/>
    </row>
    <row r="391" spans="2:11" hidden="1" x14ac:dyDescent="0.25">
      <c r="B391" s="197" t="s">
        <v>289</v>
      </c>
      <c r="C391" s="245" t="s">
        <v>344</v>
      </c>
      <c r="E391" s="151" t="s">
        <v>290</v>
      </c>
      <c r="F391" s="244" t="s">
        <v>344</v>
      </c>
      <c r="H391" s="162" t="s">
        <v>368</v>
      </c>
      <c r="I391" s="381"/>
      <c r="J391" s="382"/>
      <c r="K391" s="382"/>
    </row>
    <row r="392" spans="2:11" ht="6.75" hidden="1" customHeight="1" x14ac:dyDescent="0.25">
      <c r="B392" s="193"/>
      <c r="F392" s="194"/>
    </row>
    <row r="393" spans="2:11" hidden="1" x14ac:dyDescent="0.25">
      <c r="B393" s="386" t="s">
        <v>294</v>
      </c>
      <c r="C393" s="387"/>
      <c r="D393" s="388">
        <f>C388*C391+F388*F391</f>
        <v>1606500</v>
      </c>
      <c r="E393" s="389"/>
      <c r="F393" s="390"/>
    </row>
    <row r="394" spans="2:11" hidden="1" x14ac:dyDescent="0.25">
      <c r="B394" s="193"/>
      <c r="F394" s="194"/>
    </row>
    <row r="395" spans="2:11" hidden="1" x14ac:dyDescent="0.25">
      <c r="B395" s="198" t="s">
        <v>293</v>
      </c>
      <c r="C395" s="360">
        <f>C386*D393</f>
        <v>8032500</v>
      </c>
      <c r="D395" s="361"/>
      <c r="E395" s="361"/>
      <c r="F395" s="362"/>
    </row>
    <row r="396" spans="2:11" hidden="1" x14ac:dyDescent="0.25">
      <c r="B396" s="205" t="s">
        <v>375</v>
      </c>
      <c r="C396" s="383">
        <f>ROUNDDOWN(C395,-3)</f>
        <v>8032000</v>
      </c>
      <c r="D396" s="384"/>
      <c r="E396" s="384"/>
      <c r="F396" s="385"/>
    </row>
    <row r="397" spans="2:11" ht="6.75" hidden="1" customHeight="1" x14ac:dyDescent="0.25">
      <c r="B397" s="193"/>
      <c r="F397" s="194"/>
    </row>
    <row r="398" spans="2:11" hidden="1" x14ac:dyDescent="0.25">
      <c r="B398" s="198" t="s">
        <v>292</v>
      </c>
      <c r="C398" s="360">
        <f>C386*F388</f>
        <v>10000000</v>
      </c>
      <c r="D398" s="361"/>
      <c r="E398" s="361"/>
      <c r="F398" s="362"/>
    </row>
    <row r="399" spans="2:11" ht="6.75" hidden="1" customHeight="1" x14ac:dyDescent="0.25">
      <c r="B399" s="193"/>
      <c r="F399" s="194"/>
    </row>
    <row r="400" spans="2:11" hidden="1" x14ac:dyDescent="0.25">
      <c r="B400" s="198" t="s">
        <v>295</v>
      </c>
      <c r="C400" s="360">
        <f>C386*C388</f>
        <v>6065000</v>
      </c>
      <c r="D400" s="361"/>
      <c r="E400" s="361"/>
      <c r="F400" s="362"/>
    </row>
    <row r="401" spans="2:11" ht="15.75" hidden="1" thickBot="1" x14ac:dyDescent="0.3">
      <c r="B401" s="231"/>
      <c r="C401" s="335"/>
      <c r="D401" s="324"/>
      <c r="E401" s="324"/>
      <c r="F401" s="325"/>
    </row>
    <row r="402" spans="2:11" ht="15.75" hidden="1" x14ac:dyDescent="0.25">
      <c r="B402" s="339" t="s">
        <v>499</v>
      </c>
      <c r="C402" s="219"/>
      <c r="D402" s="219"/>
      <c r="E402" s="219"/>
      <c r="F402" s="332"/>
    </row>
    <row r="403" spans="2:11" ht="15.75" hidden="1" x14ac:dyDescent="0.25">
      <c r="B403" s="329" t="s">
        <v>20</v>
      </c>
      <c r="C403" s="336">
        <f>C121</f>
        <v>11</v>
      </c>
      <c r="D403" s="333"/>
      <c r="E403" s="5"/>
      <c r="F403" s="206"/>
      <c r="H403" s="192"/>
    </row>
    <row r="404" spans="2:11" ht="6" hidden="1" customHeight="1" x14ac:dyDescent="0.25">
      <c r="B404" s="193"/>
      <c r="F404" s="194"/>
    </row>
    <row r="405" spans="2:11" ht="15.75" hidden="1" x14ac:dyDescent="0.25">
      <c r="B405" s="195" t="s">
        <v>296</v>
      </c>
      <c r="C405" s="241">
        <v>5</v>
      </c>
      <c r="D405" s="333" t="s">
        <v>297</v>
      </c>
      <c r="E405" s="5"/>
      <c r="F405" s="206"/>
      <c r="H405" s="192" t="s">
        <v>365</v>
      </c>
    </row>
    <row r="406" spans="2:11" ht="6.75" hidden="1" customHeight="1" x14ac:dyDescent="0.25">
      <c r="B406" s="193"/>
      <c r="F406" s="194"/>
    </row>
    <row r="407" spans="2:11" hidden="1" x14ac:dyDescent="0.25">
      <c r="B407" s="195" t="s">
        <v>287</v>
      </c>
      <c r="C407" s="242">
        <v>1213000</v>
      </c>
      <c r="D407" t="s">
        <v>297</v>
      </c>
      <c r="E407" s="5" t="s">
        <v>288</v>
      </c>
      <c r="F407" s="243">
        <v>2000000</v>
      </c>
      <c r="H407" s="226" t="s">
        <v>366</v>
      </c>
      <c r="I407" s="379"/>
      <c r="J407" s="379"/>
      <c r="K407" s="379"/>
    </row>
    <row r="408" spans="2:11" ht="15" hidden="1" customHeight="1" x14ac:dyDescent="0.25">
      <c r="B408" s="195" t="s">
        <v>345</v>
      </c>
      <c r="C408" s="225" t="str">
        <f>NumToLakhBreak(C407)</f>
        <v>12 Lakh 13 Thousand</v>
      </c>
      <c r="D408" s="334"/>
      <c r="E408" s="334"/>
      <c r="F408" s="207"/>
      <c r="H408" s="226" t="s">
        <v>367</v>
      </c>
      <c r="I408" s="380"/>
      <c r="J408" s="380"/>
      <c r="K408" s="380"/>
    </row>
    <row r="409" spans="2:11" ht="6.75" hidden="1" customHeight="1" x14ac:dyDescent="0.25">
      <c r="B409" s="193"/>
      <c r="F409" s="194"/>
    </row>
    <row r="410" spans="2:11" hidden="1" x14ac:dyDescent="0.25">
      <c r="B410" s="197" t="s">
        <v>289</v>
      </c>
      <c r="C410" s="245" t="s">
        <v>344</v>
      </c>
      <c r="E410" s="151" t="s">
        <v>290</v>
      </c>
      <c r="F410" s="244" t="s">
        <v>344</v>
      </c>
      <c r="H410" s="162" t="s">
        <v>368</v>
      </c>
      <c r="I410" s="381"/>
      <c r="J410" s="382"/>
      <c r="K410" s="382"/>
    </row>
    <row r="411" spans="2:11" ht="6.75" hidden="1" customHeight="1" x14ac:dyDescent="0.25">
      <c r="B411" s="193"/>
      <c r="F411" s="194"/>
    </row>
    <row r="412" spans="2:11" hidden="1" x14ac:dyDescent="0.25">
      <c r="B412" s="386" t="s">
        <v>294</v>
      </c>
      <c r="C412" s="387"/>
      <c r="D412" s="388">
        <f>C407*C410+F407*F410</f>
        <v>1606500</v>
      </c>
      <c r="E412" s="389"/>
      <c r="F412" s="390"/>
    </row>
    <row r="413" spans="2:11" hidden="1" x14ac:dyDescent="0.25">
      <c r="B413" s="193"/>
      <c r="F413" s="194"/>
    </row>
    <row r="414" spans="2:11" hidden="1" x14ac:dyDescent="0.25">
      <c r="B414" s="198" t="s">
        <v>293</v>
      </c>
      <c r="C414" s="360">
        <f>C405*D412</f>
        <v>8032500</v>
      </c>
      <c r="D414" s="361"/>
      <c r="E414" s="361"/>
      <c r="F414" s="362"/>
    </row>
    <row r="415" spans="2:11" hidden="1" x14ac:dyDescent="0.25">
      <c r="B415" s="205" t="s">
        <v>375</v>
      </c>
      <c r="C415" s="383">
        <f>ROUNDDOWN(C414,-3)</f>
        <v>8032000</v>
      </c>
      <c r="D415" s="384"/>
      <c r="E415" s="384"/>
      <c r="F415" s="385"/>
    </row>
    <row r="416" spans="2:11" ht="6.75" hidden="1" customHeight="1" x14ac:dyDescent="0.25">
      <c r="B416" s="193"/>
      <c r="F416" s="194"/>
    </row>
    <row r="417" spans="2:11" hidden="1" x14ac:dyDescent="0.25">
      <c r="B417" s="198" t="s">
        <v>292</v>
      </c>
      <c r="C417" s="360">
        <f>C405*F407</f>
        <v>10000000</v>
      </c>
      <c r="D417" s="361"/>
      <c r="E417" s="361"/>
      <c r="F417" s="362"/>
    </row>
    <row r="418" spans="2:11" ht="6.75" hidden="1" customHeight="1" x14ac:dyDescent="0.25">
      <c r="B418" s="193"/>
      <c r="F418" s="194"/>
    </row>
    <row r="419" spans="2:11" hidden="1" x14ac:dyDescent="0.25">
      <c r="B419" s="198" t="s">
        <v>295</v>
      </c>
      <c r="C419" s="360">
        <f>C405*C407</f>
        <v>6065000</v>
      </c>
      <c r="D419" s="361"/>
      <c r="E419" s="361"/>
      <c r="F419" s="362"/>
    </row>
    <row r="420" spans="2:11" ht="15.75" hidden="1" thickBot="1" x14ac:dyDescent="0.3">
      <c r="B420" s="231"/>
      <c r="C420" s="335"/>
      <c r="D420" s="324"/>
      <c r="E420" s="324"/>
      <c r="F420" s="325"/>
    </row>
    <row r="421" spans="2:11" ht="15.75" hidden="1" x14ac:dyDescent="0.25">
      <c r="B421" s="339" t="s">
        <v>498</v>
      </c>
      <c r="C421" s="219"/>
      <c r="D421" s="219"/>
      <c r="E421" s="219"/>
      <c r="F421" s="332"/>
    </row>
    <row r="422" spans="2:11" ht="15.75" hidden="1" x14ac:dyDescent="0.25">
      <c r="B422" s="329" t="s">
        <v>20</v>
      </c>
      <c r="C422" s="336">
        <f>C130</f>
        <v>12</v>
      </c>
      <c r="D422" s="333"/>
      <c r="E422" s="5"/>
      <c r="F422" s="206"/>
      <c r="H422" s="192"/>
    </row>
    <row r="423" spans="2:11" ht="6" hidden="1" customHeight="1" x14ac:dyDescent="0.25">
      <c r="B423" s="193"/>
      <c r="F423" s="194"/>
    </row>
    <row r="424" spans="2:11" ht="15.75" hidden="1" x14ac:dyDescent="0.25">
      <c r="B424" s="195" t="s">
        <v>296</v>
      </c>
      <c r="C424" s="241">
        <v>5</v>
      </c>
      <c r="D424" s="333" t="s">
        <v>297</v>
      </c>
      <c r="E424" s="5"/>
      <c r="F424" s="206"/>
      <c r="H424" s="192" t="s">
        <v>365</v>
      </c>
    </row>
    <row r="425" spans="2:11" ht="6.75" hidden="1" customHeight="1" x14ac:dyDescent="0.25">
      <c r="B425" s="193"/>
      <c r="F425" s="194"/>
    </row>
    <row r="426" spans="2:11" hidden="1" x14ac:dyDescent="0.25">
      <c r="B426" s="195" t="s">
        <v>287</v>
      </c>
      <c r="C426" s="242">
        <v>1213000</v>
      </c>
      <c r="D426" t="s">
        <v>297</v>
      </c>
      <c r="E426" s="5" t="s">
        <v>288</v>
      </c>
      <c r="F426" s="243">
        <v>2000000</v>
      </c>
      <c r="H426" s="226" t="s">
        <v>366</v>
      </c>
      <c r="I426" s="379"/>
      <c r="J426" s="379"/>
      <c r="K426" s="379"/>
    </row>
    <row r="427" spans="2:11" ht="15" hidden="1" customHeight="1" x14ac:dyDescent="0.25">
      <c r="B427" s="195" t="s">
        <v>345</v>
      </c>
      <c r="C427" s="225" t="str">
        <f>NumToLakhBreak(C426)</f>
        <v>12 Lakh 13 Thousand</v>
      </c>
      <c r="D427" s="334"/>
      <c r="E427" s="334"/>
      <c r="F427" s="207"/>
      <c r="H427" s="226" t="s">
        <v>367</v>
      </c>
      <c r="I427" s="380"/>
      <c r="J427" s="380"/>
      <c r="K427" s="380"/>
    </row>
    <row r="428" spans="2:11" ht="6.75" hidden="1" customHeight="1" x14ac:dyDescent="0.25">
      <c r="B428" s="193"/>
      <c r="F428" s="194"/>
    </row>
    <row r="429" spans="2:11" hidden="1" x14ac:dyDescent="0.25">
      <c r="B429" s="197" t="s">
        <v>289</v>
      </c>
      <c r="C429" s="245" t="s">
        <v>344</v>
      </c>
      <c r="E429" s="151" t="s">
        <v>290</v>
      </c>
      <c r="F429" s="244" t="s">
        <v>344</v>
      </c>
      <c r="H429" s="162" t="s">
        <v>368</v>
      </c>
      <c r="I429" s="381"/>
      <c r="J429" s="382"/>
      <c r="K429" s="382"/>
    </row>
    <row r="430" spans="2:11" ht="6.75" hidden="1" customHeight="1" x14ac:dyDescent="0.25">
      <c r="B430" s="193"/>
      <c r="F430" s="194"/>
    </row>
    <row r="431" spans="2:11" hidden="1" x14ac:dyDescent="0.25">
      <c r="B431" s="386" t="s">
        <v>294</v>
      </c>
      <c r="C431" s="387"/>
      <c r="D431" s="388">
        <f>C426*C429+F426*F429</f>
        <v>1606500</v>
      </c>
      <c r="E431" s="389"/>
      <c r="F431" s="390"/>
    </row>
    <row r="432" spans="2:11" hidden="1" x14ac:dyDescent="0.25">
      <c r="B432" s="193"/>
      <c r="F432" s="194"/>
    </row>
    <row r="433" spans="2:11" hidden="1" x14ac:dyDescent="0.25">
      <c r="B433" s="198" t="s">
        <v>293</v>
      </c>
      <c r="C433" s="360">
        <f>C424*D431</f>
        <v>8032500</v>
      </c>
      <c r="D433" s="361"/>
      <c r="E433" s="361"/>
      <c r="F433" s="362"/>
    </row>
    <row r="434" spans="2:11" hidden="1" x14ac:dyDescent="0.25">
      <c r="B434" s="205" t="s">
        <v>375</v>
      </c>
      <c r="C434" s="383">
        <f>ROUNDDOWN(C433,-3)</f>
        <v>8032000</v>
      </c>
      <c r="D434" s="384"/>
      <c r="E434" s="384"/>
      <c r="F434" s="385"/>
    </row>
    <row r="435" spans="2:11" ht="6.75" hidden="1" customHeight="1" x14ac:dyDescent="0.25">
      <c r="B435" s="193"/>
      <c r="F435" s="194"/>
    </row>
    <row r="436" spans="2:11" hidden="1" x14ac:dyDescent="0.25">
      <c r="B436" s="198" t="s">
        <v>292</v>
      </c>
      <c r="C436" s="360">
        <f>C424*F426</f>
        <v>10000000</v>
      </c>
      <c r="D436" s="361"/>
      <c r="E436" s="361"/>
      <c r="F436" s="362"/>
    </row>
    <row r="437" spans="2:11" ht="6.75" hidden="1" customHeight="1" x14ac:dyDescent="0.25">
      <c r="B437" s="193"/>
      <c r="F437" s="194"/>
    </row>
    <row r="438" spans="2:11" hidden="1" x14ac:dyDescent="0.25">
      <c r="B438" s="198" t="s">
        <v>295</v>
      </c>
      <c r="C438" s="360">
        <f>C424*C426</f>
        <v>6065000</v>
      </c>
      <c r="D438" s="361"/>
      <c r="E438" s="361"/>
      <c r="F438" s="362"/>
    </row>
    <row r="439" spans="2:11" ht="15.75" hidden="1" thickBot="1" x14ac:dyDescent="0.3">
      <c r="B439" s="231"/>
      <c r="C439" s="335"/>
      <c r="D439" s="324"/>
      <c r="E439" s="324"/>
      <c r="F439" s="325"/>
    </row>
    <row r="440" spans="2:11" ht="15.75" hidden="1" x14ac:dyDescent="0.25">
      <c r="B440" s="339" t="s">
        <v>490</v>
      </c>
      <c r="C440" s="219"/>
      <c r="D440" s="219"/>
      <c r="E440" s="219"/>
      <c r="F440" s="332"/>
    </row>
    <row r="441" spans="2:11" ht="15.75" hidden="1" x14ac:dyDescent="0.25">
      <c r="B441" s="329" t="s">
        <v>20</v>
      </c>
      <c r="C441" s="336">
        <f>C139</f>
        <v>13</v>
      </c>
      <c r="D441" s="333"/>
      <c r="E441" s="5"/>
      <c r="F441" s="206"/>
      <c r="H441" s="192"/>
    </row>
    <row r="442" spans="2:11" ht="6" hidden="1" customHeight="1" x14ac:dyDescent="0.25">
      <c r="B442" s="193"/>
      <c r="F442" s="194"/>
    </row>
    <row r="443" spans="2:11" ht="15.75" hidden="1" x14ac:dyDescent="0.25">
      <c r="B443" s="195" t="s">
        <v>296</v>
      </c>
      <c r="C443" s="241">
        <v>5</v>
      </c>
      <c r="D443" s="333" t="s">
        <v>297</v>
      </c>
      <c r="E443" s="5"/>
      <c r="F443" s="206"/>
      <c r="H443" s="192" t="s">
        <v>365</v>
      </c>
    </row>
    <row r="444" spans="2:11" ht="6.75" hidden="1" customHeight="1" x14ac:dyDescent="0.25">
      <c r="B444" s="193"/>
      <c r="F444" s="194"/>
    </row>
    <row r="445" spans="2:11" hidden="1" x14ac:dyDescent="0.25">
      <c r="B445" s="195" t="s">
        <v>287</v>
      </c>
      <c r="C445" s="242">
        <v>1213000</v>
      </c>
      <c r="D445" t="s">
        <v>297</v>
      </c>
      <c r="E445" s="5" t="s">
        <v>288</v>
      </c>
      <c r="F445" s="243">
        <v>2000000</v>
      </c>
      <c r="H445" s="226" t="s">
        <v>366</v>
      </c>
      <c r="I445" s="379"/>
      <c r="J445" s="379"/>
      <c r="K445" s="379"/>
    </row>
    <row r="446" spans="2:11" ht="15" hidden="1" customHeight="1" x14ac:dyDescent="0.25">
      <c r="B446" s="195" t="s">
        <v>345</v>
      </c>
      <c r="C446" s="225" t="str">
        <f>NumToLakhBreak(C445)</f>
        <v>12 Lakh 13 Thousand</v>
      </c>
      <c r="D446" s="334"/>
      <c r="E446" s="334"/>
      <c r="F446" s="207"/>
      <c r="H446" s="226" t="s">
        <v>367</v>
      </c>
      <c r="I446" s="380"/>
      <c r="J446" s="380"/>
      <c r="K446" s="380"/>
    </row>
    <row r="447" spans="2:11" ht="6.75" hidden="1" customHeight="1" x14ac:dyDescent="0.25">
      <c r="B447" s="193"/>
      <c r="F447" s="194"/>
    </row>
    <row r="448" spans="2:11" hidden="1" x14ac:dyDescent="0.25">
      <c r="B448" s="197" t="s">
        <v>289</v>
      </c>
      <c r="C448" s="245" t="s">
        <v>344</v>
      </c>
      <c r="E448" s="151" t="s">
        <v>290</v>
      </c>
      <c r="F448" s="244" t="s">
        <v>344</v>
      </c>
      <c r="H448" s="162" t="s">
        <v>368</v>
      </c>
      <c r="I448" s="381"/>
      <c r="J448" s="382"/>
      <c r="K448" s="382"/>
    </row>
    <row r="449" spans="2:11" ht="6.75" hidden="1" customHeight="1" x14ac:dyDescent="0.25">
      <c r="B449" s="193"/>
      <c r="F449" s="194"/>
    </row>
    <row r="450" spans="2:11" hidden="1" x14ac:dyDescent="0.25">
      <c r="B450" s="386" t="s">
        <v>294</v>
      </c>
      <c r="C450" s="387"/>
      <c r="D450" s="388">
        <f>C445*C448+F445*F448</f>
        <v>1606500</v>
      </c>
      <c r="E450" s="389"/>
      <c r="F450" s="390"/>
    </row>
    <row r="451" spans="2:11" hidden="1" x14ac:dyDescent="0.25">
      <c r="B451" s="193"/>
      <c r="F451" s="194"/>
    </row>
    <row r="452" spans="2:11" hidden="1" x14ac:dyDescent="0.25">
      <c r="B452" s="198" t="s">
        <v>293</v>
      </c>
      <c r="C452" s="360">
        <f>C443*D450</f>
        <v>8032500</v>
      </c>
      <c r="D452" s="361"/>
      <c r="E452" s="361"/>
      <c r="F452" s="362"/>
    </row>
    <row r="453" spans="2:11" hidden="1" x14ac:dyDescent="0.25">
      <c r="B453" s="205" t="s">
        <v>375</v>
      </c>
      <c r="C453" s="383">
        <f>ROUNDDOWN(C452,-3)</f>
        <v>8032000</v>
      </c>
      <c r="D453" s="384"/>
      <c r="E453" s="384"/>
      <c r="F453" s="385"/>
    </row>
    <row r="454" spans="2:11" ht="6.75" hidden="1" customHeight="1" x14ac:dyDescent="0.25">
      <c r="B454" s="193"/>
      <c r="F454" s="194"/>
    </row>
    <row r="455" spans="2:11" hidden="1" x14ac:dyDescent="0.25">
      <c r="B455" s="198" t="s">
        <v>292</v>
      </c>
      <c r="C455" s="360">
        <f>C443*F445</f>
        <v>10000000</v>
      </c>
      <c r="D455" s="361"/>
      <c r="E455" s="361"/>
      <c r="F455" s="362"/>
    </row>
    <row r="456" spans="2:11" ht="6.75" hidden="1" customHeight="1" x14ac:dyDescent="0.25">
      <c r="B456" s="193"/>
      <c r="F456" s="194"/>
    </row>
    <row r="457" spans="2:11" hidden="1" x14ac:dyDescent="0.25">
      <c r="B457" s="198" t="s">
        <v>295</v>
      </c>
      <c r="C457" s="360">
        <f>C443*C445</f>
        <v>6065000</v>
      </c>
      <c r="D457" s="361"/>
      <c r="E457" s="361"/>
      <c r="F457" s="362"/>
    </row>
    <row r="458" spans="2:11" ht="15.75" hidden="1" thickBot="1" x14ac:dyDescent="0.3">
      <c r="B458" s="231"/>
      <c r="C458" s="335"/>
      <c r="D458" s="324"/>
      <c r="E458" s="324"/>
      <c r="F458" s="325"/>
    </row>
    <row r="459" spans="2:11" ht="15.75" hidden="1" x14ac:dyDescent="0.25">
      <c r="B459" s="339" t="s">
        <v>497</v>
      </c>
      <c r="C459" s="219"/>
      <c r="D459" s="219"/>
      <c r="E459" s="219"/>
      <c r="F459" s="332"/>
    </row>
    <row r="460" spans="2:11" ht="15.75" hidden="1" x14ac:dyDescent="0.25">
      <c r="B460" s="329" t="s">
        <v>20</v>
      </c>
      <c r="C460" s="336">
        <f>C148</f>
        <v>14</v>
      </c>
      <c r="D460" s="333"/>
      <c r="E460" s="5"/>
      <c r="F460" s="206"/>
      <c r="H460" s="192"/>
    </row>
    <row r="461" spans="2:11" ht="6" hidden="1" customHeight="1" x14ac:dyDescent="0.25">
      <c r="B461" s="193"/>
      <c r="F461" s="194"/>
    </row>
    <row r="462" spans="2:11" ht="15.75" hidden="1" x14ac:dyDescent="0.25">
      <c r="B462" s="195" t="s">
        <v>296</v>
      </c>
      <c r="C462" s="241">
        <v>5</v>
      </c>
      <c r="D462" s="333" t="s">
        <v>297</v>
      </c>
      <c r="E462" s="5"/>
      <c r="F462" s="206"/>
      <c r="H462" s="192" t="s">
        <v>365</v>
      </c>
    </row>
    <row r="463" spans="2:11" ht="6.75" hidden="1" customHeight="1" x14ac:dyDescent="0.25">
      <c r="B463" s="193"/>
      <c r="F463" s="194"/>
    </row>
    <row r="464" spans="2:11" hidden="1" x14ac:dyDescent="0.25">
      <c r="B464" s="195" t="s">
        <v>287</v>
      </c>
      <c r="C464" s="242">
        <v>1213000</v>
      </c>
      <c r="D464" t="s">
        <v>297</v>
      </c>
      <c r="E464" s="5" t="s">
        <v>288</v>
      </c>
      <c r="F464" s="243">
        <v>2000000</v>
      </c>
      <c r="H464" s="226" t="s">
        <v>366</v>
      </c>
      <c r="I464" s="379"/>
      <c r="J464" s="379"/>
      <c r="K464" s="379"/>
    </row>
    <row r="465" spans="2:11" ht="15" hidden="1" customHeight="1" x14ac:dyDescent="0.25">
      <c r="B465" s="195" t="s">
        <v>345</v>
      </c>
      <c r="C465" s="225" t="str">
        <f>NumToLakhBreak(C464)</f>
        <v>12 Lakh 13 Thousand</v>
      </c>
      <c r="D465" s="334"/>
      <c r="E465" s="334"/>
      <c r="F465" s="207"/>
      <c r="H465" s="226" t="s">
        <v>367</v>
      </c>
      <c r="I465" s="380"/>
      <c r="J465" s="380"/>
      <c r="K465" s="380"/>
    </row>
    <row r="466" spans="2:11" ht="6.75" hidden="1" customHeight="1" x14ac:dyDescent="0.25">
      <c r="B466" s="193"/>
      <c r="F466" s="194"/>
    </row>
    <row r="467" spans="2:11" hidden="1" x14ac:dyDescent="0.25">
      <c r="B467" s="197" t="s">
        <v>289</v>
      </c>
      <c r="C467" s="245" t="s">
        <v>344</v>
      </c>
      <c r="E467" s="151" t="s">
        <v>290</v>
      </c>
      <c r="F467" s="244" t="s">
        <v>344</v>
      </c>
      <c r="H467" s="162" t="s">
        <v>368</v>
      </c>
      <c r="I467" s="381"/>
      <c r="J467" s="382"/>
      <c r="K467" s="382"/>
    </row>
    <row r="468" spans="2:11" ht="6.75" hidden="1" customHeight="1" x14ac:dyDescent="0.25">
      <c r="B468" s="193"/>
      <c r="F468" s="194"/>
    </row>
    <row r="469" spans="2:11" hidden="1" x14ac:dyDescent="0.25">
      <c r="B469" s="386" t="s">
        <v>294</v>
      </c>
      <c r="C469" s="387"/>
      <c r="D469" s="388">
        <f>C464*C467+F464*F467</f>
        <v>1606500</v>
      </c>
      <c r="E469" s="389"/>
      <c r="F469" s="390"/>
    </row>
    <row r="470" spans="2:11" hidden="1" x14ac:dyDescent="0.25">
      <c r="B470" s="193"/>
      <c r="F470" s="194"/>
    </row>
    <row r="471" spans="2:11" hidden="1" x14ac:dyDescent="0.25">
      <c r="B471" s="198" t="s">
        <v>293</v>
      </c>
      <c r="C471" s="360">
        <f>C462*D469</f>
        <v>8032500</v>
      </c>
      <c r="D471" s="361"/>
      <c r="E471" s="361"/>
      <c r="F471" s="362"/>
    </row>
    <row r="472" spans="2:11" hidden="1" x14ac:dyDescent="0.25">
      <c r="B472" s="205" t="s">
        <v>375</v>
      </c>
      <c r="C472" s="383">
        <f>ROUNDDOWN(C471,-3)</f>
        <v>8032000</v>
      </c>
      <c r="D472" s="384"/>
      <c r="E472" s="384"/>
      <c r="F472" s="385"/>
    </row>
    <row r="473" spans="2:11" ht="6.75" hidden="1" customHeight="1" x14ac:dyDescent="0.25">
      <c r="B473" s="193"/>
      <c r="F473" s="194"/>
    </row>
    <row r="474" spans="2:11" hidden="1" x14ac:dyDescent="0.25">
      <c r="B474" s="198" t="s">
        <v>292</v>
      </c>
      <c r="C474" s="360">
        <f>C462*F464</f>
        <v>10000000</v>
      </c>
      <c r="D474" s="361"/>
      <c r="E474" s="361"/>
      <c r="F474" s="362"/>
    </row>
    <row r="475" spans="2:11" ht="6.75" hidden="1" customHeight="1" x14ac:dyDescent="0.25">
      <c r="B475" s="193"/>
      <c r="F475" s="194"/>
    </row>
    <row r="476" spans="2:11" hidden="1" x14ac:dyDescent="0.25">
      <c r="B476" s="198" t="s">
        <v>295</v>
      </c>
      <c r="C476" s="360">
        <f>C462*C464</f>
        <v>6065000</v>
      </c>
      <c r="D476" s="361"/>
      <c r="E476" s="361"/>
      <c r="F476" s="362"/>
    </row>
    <row r="477" spans="2:11" ht="15.75" hidden="1" thickBot="1" x14ac:dyDescent="0.3">
      <c r="B477" s="231"/>
      <c r="C477" s="335"/>
      <c r="D477" s="324"/>
      <c r="E477" s="324"/>
      <c r="F477" s="325"/>
    </row>
    <row r="478" spans="2:11" ht="15.75" hidden="1" x14ac:dyDescent="0.25">
      <c r="B478" s="339" t="s">
        <v>496</v>
      </c>
      <c r="C478" s="219"/>
      <c r="D478" s="219"/>
      <c r="E478" s="219"/>
      <c r="F478" s="332"/>
    </row>
    <row r="479" spans="2:11" ht="15.75" hidden="1" x14ac:dyDescent="0.25">
      <c r="B479" s="329" t="s">
        <v>20</v>
      </c>
      <c r="C479" s="336">
        <f>C157</f>
        <v>15</v>
      </c>
      <c r="D479" s="333"/>
      <c r="E479" s="5"/>
      <c r="F479" s="206"/>
      <c r="H479" s="192"/>
    </row>
    <row r="480" spans="2:11" ht="6" hidden="1" customHeight="1" x14ac:dyDescent="0.25">
      <c r="B480" s="193"/>
      <c r="F480" s="194"/>
    </row>
    <row r="481" spans="2:11" ht="15.75" hidden="1" x14ac:dyDescent="0.25">
      <c r="B481" s="195" t="s">
        <v>296</v>
      </c>
      <c r="C481" s="241">
        <v>5</v>
      </c>
      <c r="D481" s="333" t="s">
        <v>297</v>
      </c>
      <c r="E481" s="5"/>
      <c r="F481" s="206"/>
      <c r="H481" s="192" t="s">
        <v>365</v>
      </c>
    </row>
    <row r="482" spans="2:11" ht="6.75" hidden="1" customHeight="1" x14ac:dyDescent="0.25">
      <c r="B482" s="193"/>
      <c r="F482" s="194"/>
    </row>
    <row r="483" spans="2:11" hidden="1" x14ac:dyDescent="0.25">
      <c r="B483" s="195" t="s">
        <v>287</v>
      </c>
      <c r="C483" s="242">
        <v>1213000</v>
      </c>
      <c r="D483" t="s">
        <v>297</v>
      </c>
      <c r="E483" s="5" t="s">
        <v>288</v>
      </c>
      <c r="F483" s="243">
        <v>2000000</v>
      </c>
      <c r="H483" s="226" t="s">
        <v>366</v>
      </c>
      <c r="I483" s="379"/>
      <c r="J483" s="379"/>
      <c r="K483" s="379"/>
    </row>
    <row r="484" spans="2:11" ht="15" hidden="1" customHeight="1" x14ac:dyDescent="0.25">
      <c r="B484" s="195" t="s">
        <v>345</v>
      </c>
      <c r="C484" s="225" t="str">
        <f>NumToLakhBreak(C483)</f>
        <v>12 Lakh 13 Thousand</v>
      </c>
      <c r="D484" s="334"/>
      <c r="E484" s="334"/>
      <c r="F484" s="207"/>
      <c r="H484" s="226" t="s">
        <v>367</v>
      </c>
      <c r="I484" s="380"/>
      <c r="J484" s="380"/>
      <c r="K484" s="380"/>
    </row>
    <row r="485" spans="2:11" ht="6.75" hidden="1" customHeight="1" x14ac:dyDescent="0.25">
      <c r="B485" s="193"/>
      <c r="F485" s="194"/>
    </row>
    <row r="486" spans="2:11" hidden="1" x14ac:dyDescent="0.25">
      <c r="B486" s="197" t="s">
        <v>289</v>
      </c>
      <c r="C486" s="245" t="s">
        <v>344</v>
      </c>
      <c r="E486" s="151" t="s">
        <v>290</v>
      </c>
      <c r="F486" s="244" t="s">
        <v>344</v>
      </c>
      <c r="H486" s="162" t="s">
        <v>368</v>
      </c>
      <c r="I486" s="381"/>
      <c r="J486" s="382"/>
      <c r="K486" s="382"/>
    </row>
    <row r="487" spans="2:11" ht="6.75" hidden="1" customHeight="1" x14ac:dyDescent="0.25">
      <c r="B487" s="193"/>
      <c r="F487" s="194"/>
    </row>
    <row r="488" spans="2:11" hidden="1" x14ac:dyDescent="0.25">
      <c r="B488" s="386" t="s">
        <v>294</v>
      </c>
      <c r="C488" s="387"/>
      <c r="D488" s="388">
        <f>C483*C486+F483*F486</f>
        <v>1606500</v>
      </c>
      <c r="E488" s="389"/>
      <c r="F488" s="390"/>
    </row>
    <row r="489" spans="2:11" hidden="1" x14ac:dyDescent="0.25">
      <c r="B489" s="193"/>
      <c r="F489" s="194"/>
    </row>
    <row r="490" spans="2:11" hidden="1" x14ac:dyDescent="0.25">
      <c r="B490" s="198" t="s">
        <v>293</v>
      </c>
      <c r="C490" s="360">
        <f>C481*D488</f>
        <v>8032500</v>
      </c>
      <c r="D490" s="361"/>
      <c r="E490" s="361"/>
      <c r="F490" s="362"/>
    </row>
    <row r="491" spans="2:11" hidden="1" x14ac:dyDescent="0.25">
      <c r="B491" s="205" t="s">
        <v>375</v>
      </c>
      <c r="C491" s="383">
        <f>ROUNDDOWN(C490,-3)</f>
        <v>8032000</v>
      </c>
      <c r="D491" s="384"/>
      <c r="E491" s="384"/>
      <c r="F491" s="385"/>
    </row>
    <row r="492" spans="2:11" ht="6.75" hidden="1" customHeight="1" x14ac:dyDescent="0.25">
      <c r="B492" s="193"/>
      <c r="F492" s="194"/>
    </row>
    <row r="493" spans="2:11" hidden="1" x14ac:dyDescent="0.25">
      <c r="B493" s="198" t="s">
        <v>292</v>
      </c>
      <c r="C493" s="360">
        <f>C481*F483</f>
        <v>10000000</v>
      </c>
      <c r="D493" s="361"/>
      <c r="E493" s="361"/>
      <c r="F493" s="362"/>
    </row>
    <row r="494" spans="2:11" ht="6.75" hidden="1" customHeight="1" x14ac:dyDescent="0.25">
      <c r="B494" s="193"/>
      <c r="F494" s="194"/>
    </row>
    <row r="495" spans="2:11" hidden="1" x14ac:dyDescent="0.25">
      <c r="B495" s="198" t="s">
        <v>295</v>
      </c>
      <c r="C495" s="360">
        <f>C481*C483</f>
        <v>6065000</v>
      </c>
      <c r="D495" s="361"/>
      <c r="E495" s="361"/>
      <c r="F495" s="362"/>
    </row>
    <row r="496" spans="2:11" ht="15.75" hidden="1" thickBot="1" x14ac:dyDescent="0.3">
      <c r="B496" s="231"/>
      <c r="C496" s="335"/>
      <c r="D496" s="324"/>
      <c r="E496" s="324"/>
      <c r="F496" s="325"/>
    </row>
    <row r="497" spans="2:11" ht="15.75" hidden="1" x14ac:dyDescent="0.25">
      <c r="B497" s="339" t="s">
        <v>495</v>
      </c>
      <c r="C497" s="219"/>
      <c r="D497" s="219"/>
      <c r="E497" s="219"/>
      <c r="F497" s="332"/>
    </row>
    <row r="498" spans="2:11" ht="15.75" hidden="1" x14ac:dyDescent="0.25">
      <c r="B498" s="329" t="s">
        <v>20</v>
      </c>
      <c r="C498" s="336">
        <f>C166</f>
        <v>16</v>
      </c>
      <c r="D498" s="333"/>
      <c r="E498" s="5"/>
      <c r="F498" s="206"/>
      <c r="H498" s="192"/>
    </row>
    <row r="499" spans="2:11" ht="6" hidden="1" customHeight="1" x14ac:dyDescent="0.25">
      <c r="B499" s="193"/>
      <c r="F499" s="194"/>
    </row>
    <row r="500" spans="2:11" ht="15.75" hidden="1" x14ac:dyDescent="0.25">
      <c r="B500" s="195" t="s">
        <v>296</v>
      </c>
      <c r="C500" s="241">
        <v>5</v>
      </c>
      <c r="D500" s="333" t="s">
        <v>297</v>
      </c>
      <c r="E500" s="5"/>
      <c r="F500" s="206"/>
      <c r="H500" s="192" t="s">
        <v>365</v>
      </c>
    </row>
    <row r="501" spans="2:11" ht="6.75" hidden="1" customHeight="1" x14ac:dyDescent="0.25">
      <c r="B501" s="193"/>
      <c r="F501" s="194"/>
    </row>
    <row r="502" spans="2:11" hidden="1" x14ac:dyDescent="0.25">
      <c r="B502" s="195" t="s">
        <v>287</v>
      </c>
      <c r="C502" s="242">
        <v>1213000</v>
      </c>
      <c r="D502" t="s">
        <v>297</v>
      </c>
      <c r="E502" s="5" t="s">
        <v>288</v>
      </c>
      <c r="F502" s="243">
        <v>2000000</v>
      </c>
      <c r="H502" s="226" t="s">
        <v>366</v>
      </c>
      <c r="I502" s="379"/>
      <c r="J502" s="379"/>
      <c r="K502" s="379"/>
    </row>
    <row r="503" spans="2:11" ht="15" hidden="1" customHeight="1" x14ac:dyDescent="0.25">
      <c r="B503" s="195" t="s">
        <v>345</v>
      </c>
      <c r="C503" s="225" t="str">
        <f>NumToLakhBreak(C502)</f>
        <v>12 Lakh 13 Thousand</v>
      </c>
      <c r="D503" s="334"/>
      <c r="E503" s="334"/>
      <c r="F503" s="207"/>
      <c r="H503" s="226" t="s">
        <v>367</v>
      </c>
      <c r="I503" s="380"/>
      <c r="J503" s="380"/>
      <c r="K503" s="380"/>
    </row>
    <row r="504" spans="2:11" ht="6.75" hidden="1" customHeight="1" x14ac:dyDescent="0.25">
      <c r="B504" s="193"/>
      <c r="F504" s="194"/>
    </row>
    <row r="505" spans="2:11" hidden="1" x14ac:dyDescent="0.25">
      <c r="B505" s="197" t="s">
        <v>289</v>
      </c>
      <c r="C505" s="245" t="s">
        <v>344</v>
      </c>
      <c r="E505" s="151" t="s">
        <v>290</v>
      </c>
      <c r="F505" s="244" t="s">
        <v>344</v>
      </c>
      <c r="H505" s="162" t="s">
        <v>368</v>
      </c>
      <c r="I505" s="381"/>
      <c r="J505" s="382"/>
      <c r="K505" s="382"/>
    </row>
    <row r="506" spans="2:11" ht="6.75" hidden="1" customHeight="1" x14ac:dyDescent="0.25">
      <c r="B506" s="193"/>
      <c r="F506" s="194"/>
    </row>
    <row r="507" spans="2:11" hidden="1" x14ac:dyDescent="0.25">
      <c r="B507" s="386" t="s">
        <v>294</v>
      </c>
      <c r="C507" s="387"/>
      <c r="D507" s="388">
        <f>C502*C505+F502*F505</f>
        <v>1606500</v>
      </c>
      <c r="E507" s="389"/>
      <c r="F507" s="390"/>
    </row>
    <row r="508" spans="2:11" hidden="1" x14ac:dyDescent="0.25">
      <c r="B508" s="193"/>
      <c r="F508" s="194"/>
    </row>
    <row r="509" spans="2:11" hidden="1" x14ac:dyDescent="0.25">
      <c r="B509" s="198" t="s">
        <v>293</v>
      </c>
      <c r="C509" s="360">
        <f>C500*D507</f>
        <v>8032500</v>
      </c>
      <c r="D509" s="361"/>
      <c r="E509" s="361"/>
      <c r="F509" s="362"/>
    </row>
    <row r="510" spans="2:11" hidden="1" x14ac:dyDescent="0.25">
      <c r="B510" s="205" t="s">
        <v>375</v>
      </c>
      <c r="C510" s="383">
        <f>ROUNDDOWN(C509,-3)</f>
        <v>8032000</v>
      </c>
      <c r="D510" s="384"/>
      <c r="E510" s="384"/>
      <c r="F510" s="385"/>
    </row>
    <row r="511" spans="2:11" ht="6.75" hidden="1" customHeight="1" x14ac:dyDescent="0.25">
      <c r="B511" s="193"/>
      <c r="F511" s="194"/>
    </row>
    <row r="512" spans="2:11" hidden="1" x14ac:dyDescent="0.25">
      <c r="B512" s="198" t="s">
        <v>292</v>
      </c>
      <c r="C512" s="360">
        <f>C500*F502</f>
        <v>10000000</v>
      </c>
      <c r="D512" s="361"/>
      <c r="E512" s="361"/>
      <c r="F512" s="362"/>
    </row>
    <row r="513" spans="2:11" ht="6.75" hidden="1" customHeight="1" x14ac:dyDescent="0.25">
      <c r="B513" s="193"/>
      <c r="F513" s="194"/>
    </row>
    <row r="514" spans="2:11" hidden="1" x14ac:dyDescent="0.25">
      <c r="B514" s="198" t="s">
        <v>295</v>
      </c>
      <c r="C514" s="360">
        <f>C500*C502</f>
        <v>6065000</v>
      </c>
      <c r="D514" s="361"/>
      <c r="E514" s="361"/>
      <c r="F514" s="362"/>
    </row>
    <row r="515" spans="2:11" ht="15.75" hidden="1" thickBot="1" x14ac:dyDescent="0.3">
      <c r="B515" s="231"/>
      <c r="C515" s="335"/>
      <c r="D515" s="324"/>
      <c r="E515" s="324"/>
      <c r="F515" s="325"/>
    </row>
    <row r="516" spans="2:11" ht="15.75" hidden="1" x14ac:dyDescent="0.25">
      <c r="B516" s="339" t="s">
        <v>494</v>
      </c>
      <c r="C516" s="219"/>
      <c r="D516" s="219"/>
      <c r="E516" s="219"/>
      <c r="F516" s="332"/>
    </row>
    <row r="517" spans="2:11" ht="15.75" hidden="1" x14ac:dyDescent="0.25">
      <c r="B517" s="329" t="s">
        <v>20</v>
      </c>
      <c r="C517" s="336">
        <f>C175</f>
        <v>17</v>
      </c>
      <c r="D517" s="333"/>
      <c r="E517" s="5"/>
      <c r="F517" s="206"/>
      <c r="H517" s="192"/>
    </row>
    <row r="518" spans="2:11" ht="6" hidden="1" customHeight="1" x14ac:dyDescent="0.25">
      <c r="B518" s="193"/>
      <c r="F518" s="194"/>
    </row>
    <row r="519" spans="2:11" ht="15.75" hidden="1" x14ac:dyDescent="0.25">
      <c r="B519" s="195" t="s">
        <v>296</v>
      </c>
      <c r="C519" s="241">
        <v>5</v>
      </c>
      <c r="D519" s="333" t="s">
        <v>297</v>
      </c>
      <c r="E519" s="5"/>
      <c r="F519" s="206"/>
      <c r="H519" s="192" t="s">
        <v>365</v>
      </c>
    </row>
    <row r="520" spans="2:11" ht="6.75" hidden="1" customHeight="1" x14ac:dyDescent="0.25">
      <c r="B520" s="193"/>
      <c r="F520" s="194"/>
    </row>
    <row r="521" spans="2:11" hidden="1" x14ac:dyDescent="0.25">
      <c r="B521" s="195" t="s">
        <v>287</v>
      </c>
      <c r="C521" s="242">
        <v>1213000</v>
      </c>
      <c r="D521" t="s">
        <v>297</v>
      </c>
      <c r="E521" s="5" t="s">
        <v>288</v>
      </c>
      <c r="F521" s="243">
        <v>2000000</v>
      </c>
      <c r="H521" s="226" t="s">
        <v>366</v>
      </c>
      <c r="I521" s="379"/>
      <c r="J521" s="379"/>
      <c r="K521" s="379"/>
    </row>
    <row r="522" spans="2:11" ht="15" hidden="1" customHeight="1" x14ac:dyDescent="0.25">
      <c r="B522" s="195" t="s">
        <v>345</v>
      </c>
      <c r="C522" s="225" t="str">
        <f>NumToLakhBreak(C521)</f>
        <v>12 Lakh 13 Thousand</v>
      </c>
      <c r="D522" s="334"/>
      <c r="E522" s="334"/>
      <c r="F522" s="207"/>
      <c r="H522" s="226" t="s">
        <v>367</v>
      </c>
      <c r="I522" s="380"/>
      <c r="J522" s="380"/>
      <c r="K522" s="380"/>
    </row>
    <row r="523" spans="2:11" ht="6.75" hidden="1" customHeight="1" x14ac:dyDescent="0.25">
      <c r="B523" s="193"/>
      <c r="F523" s="194"/>
    </row>
    <row r="524" spans="2:11" hidden="1" x14ac:dyDescent="0.25">
      <c r="B524" s="197" t="s">
        <v>289</v>
      </c>
      <c r="C524" s="245" t="s">
        <v>344</v>
      </c>
      <c r="E524" s="151" t="s">
        <v>290</v>
      </c>
      <c r="F524" s="244" t="s">
        <v>344</v>
      </c>
      <c r="H524" s="162" t="s">
        <v>368</v>
      </c>
      <c r="I524" s="381"/>
      <c r="J524" s="382"/>
      <c r="K524" s="382"/>
    </row>
    <row r="525" spans="2:11" ht="6.75" hidden="1" customHeight="1" x14ac:dyDescent="0.25">
      <c r="B525" s="193"/>
      <c r="F525" s="194"/>
    </row>
    <row r="526" spans="2:11" hidden="1" x14ac:dyDescent="0.25">
      <c r="B526" s="386" t="s">
        <v>294</v>
      </c>
      <c r="C526" s="387"/>
      <c r="D526" s="388">
        <f>C521*C524+F521*F524</f>
        <v>1606500</v>
      </c>
      <c r="E526" s="389"/>
      <c r="F526" s="390"/>
    </row>
    <row r="527" spans="2:11" hidden="1" x14ac:dyDescent="0.25">
      <c r="B527" s="193"/>
      <c r="F527" s="194"/>
    </row>
    <row r="528" spans="2:11" hidden="1" x14ac:dyDescent="0.25">
      <c r="B528" s="198" t="s">
        <v>293</v>
      </c>
      <c r="C528" s="360">
        <f>C519*D526</f>
        <v>8032500</v>
      </c>
      <c r="D528" s="361"/>
      <c r="E528" s="361"/>
      <c r="F528" s="362"/>
    </row>
    <row r="529" spans="2:11" hidden="1" x14ac:dyDescent="0.25">
      <c r="B529" s="205" t="s">
        <v>375</v>
      </c>
      <c r="C529" s="383">
        <f>ROUNDDOWN(C528,-3)</f>
        <v>8032000</v>
      </c>
      <c r="D529" s="384"/>
      <c r="E529" s="384"/>
      <c r="F529" s="385"/>
    </row>
    <row r="530" spans="2:11" ht="6.75" hidden="1" customHeight="1" x14ac:dyDescent="0.25">
      <c r="B530" s="193"/>
      <c r="F530" s="194"/>
    </row>
    <row r="531" spans="2:11" hidden="1" x14ac:dyDescent="0.25">
      <c r="B531" s="198" t="s">
        <v>292</v>
      </c>
      <c r="C531" s="360">
        <f>C519*F521</f>
        <v>10000000</v>
      </c>
      <c r="D531" s="361"/>
      <c r="E531" s="361"/>
      <c r="F531" s="362"/>
    </row>
    <row r="532" spans="2:11" ht="6.75" hidden="1" customHeight="1" x14ac:dyDescent="0.25">
      <c r="B532" s="193"/>
      <c r="F532" s="194"/>
    </row>
    <row r="533" spans="2:11" hidden="1" x14ac:dyDescent="0.25">
      <c r="B533" s="198" t="s">
        <v>295</v>
      </c>
      <c r="C533" s="360">
        <f>C519*C521</f>
        <v>6065000</v>
      </c>
      <c r="D533" s="361"/>
      <c r="E533" s="361"/>
      <c r="F533" s="362"/>
    </row>
    <row r="534" spans="2:11" ht="15.75" hidden="1" thickBot="1" x14ac:dyDescent="0.3">
      <c r="B534" s="231"/>
      <c r="C534" s="335"/>
      <c r="D534" s="324"/>
      <c r="E534" s="324"/>
      <c r="F534" s="325"/>
    </row>
    <row r="535" spans="2:11" ht="15.75" hidden="1" x14ac:dyDescent="0.25">
      <c r="B535" s="339" t="s">
        <v>493</v>
      </c>
      <c r="C535" s="219"/>
      <c r="D535" s="219"/>
      <c r="E535" s="219"/>
      <c r="F535" s="332"/>
    </row>
    <row r="536" spans="2:11" ht="15.75" hidden="1" x14ac:dyDescent="0.25">
      <c r="B536" s="329" t="s">
        <v>20</v>
      </c>
      <c r="C536" s="336">
        <f>C184</f>
        <v>18</v>
      </c>
      <c r="D536" s="333"/>
      <c r="E536" s="5"/>
      <c r="F536" s="206"/>
      <c r="H536" s="192"/>
    </row>
    <row r="537" spans="2:11" ht="6" hidden="1" customHeight="1" x14ac:dyDescent="0.25">
      <c r="B537" s="193"/>
      <c r="F537" s="194"/>
    </row>
    <row r="538" spans="2:11" ht="15.75" hidden="1" x14ac:dyDescent="0.25">
      <c r="B538" s="195" t="s">
        <v>296</v>
      </c>
      <c r="C538" s="241">
        <v>5</v>
      </c>
      <c r="D538" s="333" t="s">
        <v>297</v>
      </c>
      <c r="E538" s="5"/>
      <c r="F538" s="206"/>
      <c r="H538" s="192" t="s">
        <v>365</v>
      </c>
    </row>
    <row r="539" spans="2:11" ht="6.75" hidden="1" customHeight="1" x14ac:dyDescent="0.25">
      <c r="B539" s="193"/>
      <c r="F539" s="194"/>
    </row>
    <row r="540" spans="2:11" hidden="1" x14ac:dyDescent="0.25">
      <c r="B540" s="195" t="s">
        <v>287</v>
      </c>
      <c r="C540" s="242">
        <v>1213000</v>
      </c>
      <c r="D540" t="s">
        <v>297</v>
      </c>
      <c r="E540" s="5" t="s">
        <v>288</v>
      </c>
      <c r="F540" s="243">
        <v>2000000</v>
      </c>
      <c r="H540" s="226" t="s">
        <v>366</v>
      </c>
      <c r="I540" s="379"/>
      <c r="J540" s="379"/>
      <c r="K540" s="379"/>
    </row>
    <row r="541" spans="2:11" ht="15" hidden="1" customHeight="1" x14ac:dyDescent="0.25">
      <c r="B541" s="195" t="s">
        <v>345</v>
      </c>
      <c r="C541" s="225" t="str">
        <f>NumToLakhBreak(C540)</f>
        <v>12 Lakh 13 Thousand</v>
      </c>
      <c r="D541" s="334"/>
      <c r="E541" s="334"/>
      <c r="F541" s="207"/>
      <c r="H541" s="226" t="s">
        <v>367</v>
      </c>
      <c r="I541" s="380"/>
      <c r="J541" s="380"/>
      <c r="K541" s="380"/>
    </row>
    <row r="542" spans="2:11" ht="6.75" hidden="1" customHeight="1" x14ac:dyDescent="0.25">
      <c r="B542" s="193"/>
      <c r="F542" s="194"/>
    </row>
    <row r="543" spans="2:11" hidden="1" x14ac:dyDescent="0.25">
      <c r="B543" s="197" t="s">
        <v>289</v>
      </c>
      <c r="C543" s="245" t="s">
        <v>344</v>
      </c>
      <c r="E543" s="151" t="s">
        <v>290</v>
      </c>
      <c r="F543" s="244" t="s">
        <v>344</v>
      </c>
      <c r="H543" s="162" t="s">
        <v>368</v>
      </c>
      <c r="I543" s="381"/>
      <c r="J543" s="382"/>
      <c r="K543" s="382"/>
    </row>
    <row r="544" spans="2:11" ht="6.75" hidden="1" customHeight="1" x14ac:dyDescent="0.25">
      <c r="B544" s="193"/>
      <c r="F544" s="194"/>
    </row>
    <row r="545" spans="2:11" hidden="1" x14ac:dyDescent="0.25">
      <c r="B545" s="386" t="s">
        <v>294</v>
      </c>
      <c r="C545" s="387"/>
      <c r="D545" s="388">
        <f>C540*C543+F540*F543</f>
        <v>1606500</v>
      </c>
      <c r="E545" s="389"/>
      <c r="F545" s="390"/>
    </row>
    <row r="546" spans="2:11" hidden="1" x14ac:dyDescent="0.25">
      <c r="B546" s="193"/>
      <c r="F546" s="194"/>
    </row>
    <row r="547" spans="2:11" hidden="1" x14ac:dyDescent="0.25">
      <c r="B547" s="198" t="s">
        <v>293</v>
      </c>
      <c r="C547" s="360">
        <f>C538*D545</f>
        <v>8032500</v>
      </c>
      <c r="D547" s="361"/>
      <c r="E547" s="361"/>
      <c r="F547" s="362"/>
    </row>
    <row r="548" spans="2:11" hidden="1" x14ac:dyDescent="0.25">
      <c r="B548" s="205" t="s">
        <v>375</v>
      </c>
      <c r="C548" s="383">
        <f>ROUNDDOWN(C547,-3)</f>
        <v>8032000</v>
      </c>
      <c r="D548" s="384"/>
      <c r="E548" s="384"/>
      <c r="F548" s="385"/>
    </row>
    <row r="549" spans="2:11" ht="6.75" hidden="1" customHeight="1" x14ac:dyDescent="0.25">
      <c r="B549" s="193"/>
      <c r="F549" s="194"/>
    </row>
    <row r="550" spans="2:11" hidden="1" x14ac:dyDescent="0.25">
      <c r="B550" s="198" t="s">
        <v>292</v>
      </c>
      <c r="C550" s="360">
        <f>C538*F540</f>
        <v>10000000</v>
      </c>
      <c r="D550" s="361"/>
      <c r="E550" s="361"/>
      <c r="F550" s="362"/>
    </row>
    <row r="551" spans="2:11" ht="6.75" hidden="1" customHeight="1" x14ac:dyDescent="0.25">
      <c r="B551" s="193"/>
      <c r="F551" s="194"/>
    </row>
    <row r="552" spans="2:11" hidden="1" x14ac:dyDescent="0.25">
      <c r="B552" s="198" t="s">
        <v>295</v>
      </c>
      <c r="C552" s="360">
        <f>C538*C540</f>
        <v>6065000</v>
      </c>
      <c r="D552" s="361"/>
      <c r="E552" s="361"/>
      <c r="F552" s="362"/>
    </row>
    <row r="553" spans="2:11" ht="15.75" hidden="1" thickBot="1" x14ac:dyDescent="0.3">
      <c r="B553" s="231"/>
      <c r="C553" s="335"/>
      <c r="D553" s="324"/>
      <c r="E553" s="324"/>
      <c r="F553" s="325"/>
    </row>
    <row r="554" spans="2:11" ht="15.75" hidden="1" x14ac:dyDescent="0.25">
      <c r="B554" s="339" t="s">
        <v>492</v>
      </c>
      <c r="C554" s="219"/>
      <c r="D554" s="219"/>
      <c r="E554" s="219"/>
      <c r="F554" s="332"/>
    </row>
    <row r="555" spans="2:11" ht="15.75" hidden="1" x14ac:dyDescent="0.25">
      <c r="B555" s="329" t="s">
        <v>20</v>
      </c>
      <c r="C555" s="336">
        <f>C193</f>
        <v>19</v>
      </c>
      <c r="D555" s="333"/>
      <c r="E555" s="5"/>
      <c r="F555" s="206"/>
      <c r="H555" s="192"/>
    </row>
    <row r="556" spans="2:11" ht="6" hidden="1" customHeight="1" x14ac:dyDescent="0.25">
      <c r="B556" s="193"/>
      <c r="F556" s="194"/>
    </row>
    <row r="557" spans="2:11" ht="15.75" hidden="1" x14ac:dyDescent="0.25">
      <c r="B557" s="195" t="s">
        <v>296</v>
      </c>
      <c r="C557" s="241">
        <v>5</v>
      </c>
      <c r="D557" s="333" t="s">
        <v>297</v>
      </c>
      <c r="E557" s="5"/>
      <c r="F557" s="206"/>
      <c r="H557" s="192" t="s">
        <v>365</v>
      </c>
    </row>
    <row r="558" spans="2:11" ht="6.75" hidden="1" customHeight="1" x14ac:dyDescent="0.25">
      <c r="B558" s="193"/>
      <c r="F558" s="194"/>
    </row>
    <row r="559" spans="2:11" hidden="1" x14ac:dyDescent="0.25">
      <c r="B559" s="195" t="s">
        <v>287</v>
      </c>
      <c r="C559" s="242">
        <v>1213000</v>
      </c>
      <c r="D559" t="s">
        <v>297</v>
      </c>
      <c r="E559" s="5" t="s">
        <v>288</v>
      </c>
      <c r="F559" s="243">
        <v>2000000</v>
      </c>
      <c r="H559" s="226" t="s">
        <v>366</v>
      </c>
      <c r="I559" s="379"/>
      <c r="J559" s="379"/>
      <c r="K559" s="379"/>
    </row>
    <row r="560" spans="2:11" ht="15" hidden="1" customHeight="1" x14ac:dyDescent="0.25">
      <c r="B560" s="195" t="s">
        <v>345</v>
      </c>
      <c r="C560" s="225" t="str">
        <f>NumToLakhBreak(C559)</f>
        <v>12 Lakh 13 Thousand</v>
      </c>
      <c r="D560" s="334"/>
      <c r="E560" s="334"/>
      <c r="F560" s="207"/>
      <c r="H560" s="226" t="s">
        <v>367</v>
      </c>
      <c r="I560" s="380"/>
      <c r="J560" s="380"/>
      <c r="K560" s="380"/>
    </row>
    <row r="561" spans="2:11" ht="6.75" hidden="1" customHeight="1" x14ac:dyDescent="0.25">
      <c r="B561" s="193"/>
      <c r="F561" s="194"/>
    </row>
    <row r="562" spans="2:11" hidden="1" x14ac:dyDescent="0.25">
      <c r="B562" s="197" t="s">
        <v>289</v>
      </c>
      <c r="C562" s="245" t="s">
        <v>344</v>
      </c>
      <c r="E562" s="151" t="s">
        <v>290</v>
      </c>
      <c r="F562" s="244" t="s">
        <v>344</v>
      </c>
      <c r="H562" s="162" t="s">
        <v>368</v>
      </c>
      <c r="I562" s="381"/>
      <c r="J562" s="382"/>
      <c r="K562" s="382"/>
    </row>
    <row r="563" spans="2:11" ht="6.75" hidden="1" customHeight="1" x14ac:dyDescent="0.25">
      <c r="B563" s="193"/>
      <c r="F563" s="194"/>
    </row>
    <row r="564" spans="2:11" hidden="1" x14ac:dyDescent="0.25">
      <c r="B564" s="386" t="s">
        <v>294</v>
      </c>
      <c r="C564" s="387"/>
      <c r="D564" s="388">
        <f>C559*C562+F559*F562</f>
        <v>1606500</v>
      </c>
      <c r="E564" s="389"/>
      <c r="F564" s="390"/>
    </row>
    <row r="565" spans="2:11" hidden="1" x14ac:dyDescent="0.25">
      <c r="B565" s="193"/>
      <c r="F565" s="194"/>
    </row>
    <row r="566" spans="2:11" hidden="1" x14ac:dyDescent="0.25">
      <c r="B566" s="198" t="s">
        <v>293</v>
      </c>
      <c r="C566" s="360">
        <f>C557*D564</f>
        <v>8032500</v>
      </c>
      <c r="D566" s="361"/>
      <c r="E566" s="361"/>
      <c r="F566" s="362"/>
    </row>
    <row r="567" spans="2:11" hidden="1" x14ac:dyDescent="0.25">
      <c r="B567" s="205" t="s">
        <v>375</v>
      </c>
      <c r="C567" s="383">
        <f>ROUNDDOWN(C566,-3)</f>
        <v>8032000</v>
      </c>
      <c r="D567" s="384"/>
      <c r="E567" s="384"/>
      <c r="F567" s="385"/>
    </row>
    <row r="568" spans="2:11" ht="6.75" hidden="1" customHeight="1" x14ac:dyDescent="0.25">
      <c r="B568" s="193"/>
      <c r="F568" s="194"/>
    </row>
    <row r="569" spans="2:11" hidden="1" x14ac:dyDescent="0.25">
      <c r="B569" s="198" t="s">
        <v>292</v>
      </c>
      <c r="C569" s="360">
        <f>C557*F559</f>
        <v>10000000</v>
      </c>
      <c r="D569" s="361"/>
      <c r="E569" s="361"/>
      <c r="F569" s="362"/>
    </row>
    <row r="570" spans="2:11" ht="6.75" hidden="1" customHeight="1" x14ac:dyDescent="0.25">
      <c r="B570" s="193"/>
      <c r="F570" s="194"/>
    </row>
    <row r="571" spans="2:11" hidden="1" x14ac:dyDescent="0.25">
      <c r="B571" s="198" t="s">
        <v>295</v>
      </c>
      <c r="C571" s="360">
        <f>C557*C559</f>
        <v>6065000</v>
      </c>
      <c r="D571" s="361"/>
      <c r="E571" s="361"/>
      <c r="F571" s="362"/>
    </row>
    <row r="572" spans="2:11" ht="15.75" hidden="1" thickBot="1" x14ac:dyDescent="0.3">
      <c r="B572" s="231"/>
      <c r="C572" s="335"/>
      <c r="D572" s="324"/>
      <c r="E572" s="324"/>
      <c r="F572" s="325"/>
    </row>
    <row r="573" spans="2:11" ht="15.75" hidden="1" x14ac:dyDescent="0.25">
      <c r="B573" s="339" t="s">
        <v>491</v>
      </c>
      <c r="C573" s="219"/>
      <c r="D573" s="219"/>
      <c r="E573" s="219"/>
      <c r="F573" s="332"/>
    </row>
    <row r="574" spans="2:11" ht="15.75" hidden="1" x14ac:dyDescent="0.25">
      <c r="B574" s="329" t="s">
        <v>20</v>
      </c>
      <c r="C574" s="336">
        <f>C202</f>
        <v>20</v>
      </c>
      <c r="D574" s="333"/>
      <c r="E574" s="5"/>
      <c r="F574" s="206"/>
      <c r="H574" s="192"/>
    </row>
    <row r="575" spans="2:11" ht="6" hidden="1" customHeight="1" x14ac:dyDescent="0.25">
      <c r="B575" s="193"/>
      <c r="F575" s="194"/>
    </row>
    <row r="576" spans="2:11" ht="15.75" hidden="1" x14ac:dyDescent="0.25">
      <c r="B576" s="195" t="s">
        <v>296</v>
      </c>
      <c r="C576" s="241">
        <v>5</v>
      </c>
      <c r="D576" s="333" t="s">
        <v>297</v>
      </c>
      <c r="E576" s="5"/>
      <c r="F576" s="206"/>
      <c r="H576" s="192" t="s">
        <v>365</v>
      </c>
    </row>
    <row r="577" spans="2:11" ht="6.75" hidden="1" customHeight="1" x14ac:dyDescent="0.25">
      <c r="B577" s="193"/>
      <c r="F577" s="194"/>
    </row>
    <row r="578" spans="2:11" hidden="1" x14ac:dyDescent="0.25">
      <c r="B578" s="195" t="s">
        <v>287</v>
      </c>
      <c r="C578" s="242">
        <v>1213000</v>
      </c>
      <c r="D578" t="s">
        <v>297</v>
      </c>
      <c r="E578" s="5" t="s">
        <v>288</v>
      </c>
      <c r="F578" s="243">
        <v>2000000</v>
      </c>
      <c r="H578" s="226" t="s">
        <v>366</v>
      </c>
      <c r="I578" s="379"/>
      <c r="J578" s="379"/>
      <c r="K578" s="379"/>
    </row>
    <row r="579" spans="2:11" ht="15" hidden="1" customHeight="1" x14ac:dyDescent="0.25">
      <c r="B579" s="195" t="s">
        <v>345</v>
      </c>
      <c r="C579" s="225" t="str">
        <f>NumToLakhBreak(C578)</f>
        <v>12 Lakh 13 Thousand</v>
      </c>
      <c r="D579" s="334"/>
      <c r="E579" s="334"/>
      <c r="F579" s="207"/>
      <c r="H579" s="226" t="s">
        <v>367</v>
      </c>
      <c r="I579" s="380"/>
      <c r="J579" s="380"/>
      <c r="K579" s="380"/>
    </row>
    <row r="580" spans="2:11" ht="6.75" hidden="1" customHeight="1" x14ac:dyDescent="0.25">
      <c r="B580" s="193"/>
      <c r="F580" s="194"/>
    </row>
    <row r="581" spans="2:11" hidden="1" x14ac:dyDescent="0.25">
      <c r="B581" s="197" t="s">
        <v>289</v>
      </c>
      <c r="C581" s="245" t="s">
        <v>344</v>
      </c>
      <c r="E581" s="151" t="s">
        <v>290</v>
      </c>
      <c r="F581" s="244" t="s">
        <v>344</v>
      </c>
      <c r="H581" s="162" t="s">
        <v>368</v>
      </c>
      <c r="I581" s="381"/>
      <c r="J581" s="382"/>
      <c r="K581" s="382"/>
    </row>
    <row r="582" spans="2:11" ht="6.75" hidden="1" customHeight="1" x14ac:dyDescent="0.25">
      <c r="B582" s="193"/>
      <c r="F582" s="194"/>
    </row>
    <row r="583" spans="2:11" hidden="1" x14ac:dyDescent="0.25">
      <c r="B583" s="386" t="s">
        <v>294</v>
      </c>
      <c r="C583" s="387"/>
      <c r="D583" s="388">
        <f>C578*C581+F578*F581</f>
        <v>1606500</v>
      </c>
      <c r="E583" s="389"/>
      <c r="F583" s="390"/>
    </row>
    <row r="584" spans="2:11" hidden="1" x14ac:dyDescent="0.25">
      <c r="B584" s="193"/>
      <c r="F584" s="194"/>
    </row>
    <row r="585" spans="2:11" hidden="1" x14ac:dyDescent="0.25">
      <c r="B585" s="198" t="s">
        <v>293</v>
      </c>
      <c r="C585" s="360">
        <f>C576*D583</f>
        <v>8032500</v>
      </c>
      <c r="D585" s="361"/>
      <c r="E585" s="361"/>
      <c r="F585" s="362"/>
    </row>
    <row r="586" spans="2:11" hidden="1" x14ac:dyDescent="0.25">
      <c r="B586" s="205" t="s">
        <v>375</v>
      </c>
      <c r="C586" s="383">
        <f>ROUNDDOWN(C585,-3)</f>
        <v>8032000</v>
      </c>
      <c r="D586" s="384"/>
      <c r="E586" s="384"/>
      <c r="F586" s="385"/>
    </row>
    <row r="587" spans="2:11" ht="6.75" hidden="1" customHeight="1" x14ac:dyDescent="0.25">
      <c r="B587" s="193"/>
      <c r="F587" s="194"/>
    </row>
    <row r="588" spans="2:11" hidden="1" x14ac:dyDescent="0.25">
      <c r="B588" s="198" t="s">
        <v>292</v>
      </c>
      <c r="C588" s="360">
        <f>C576*F578</f>
        <v>10000000</v>
      </c>
      <c r="D588" s="361"/>
      <c r="E588" s="361"/>
      <c r="F588" s="362"/>
    </row>
    <row r="589" spans="2:11" ht="6.75" hidden="1" customHeight="1" x14ac:dyDescent="0.25">
      <c r="B589" s="193"/>
      <c r="F589" s="194"/>
    </row>
    <row r="590" spans="2:11" hidden="1" x14ac:dyDescent="0.25">
      <c r="B590" s="198" t="s">
        <v>295</v>
      </c>
      <c r="C590" s="360">
        <f>C576*C578</f>
        <v>6065000</v>
      </c>
      <c r="D590" s="361"/>
      <c r="E590" s="361"/>
      <c r="F590" s="362"/>
    </row>
    <row r="591" spans="2:11" ht="15.75" hidden="1" thickBot="1" x14ac:dyDescent="0.3">
      <c r="B591" s="231"/>
      <c r="C591" s="335"/>
      <c r="D591" s="324"/>
      <c r="E591" s="324"/>
      <c r="F591" s="325"/>
    </row>
    <row r="592" spans="2:11" hidden="1" x14ac:dyDescent="0.25">
      <c r="B592" s="195"/>
      <c r="C592" s="220"/>
      <c r="E592" s="5"/>
      <c r="F592" s="305"/>
    </row>
    <row r="593" spans="2:10" ht="15" hidden="1" customHeight="1" x14ac:dyDescent="0.25">
      <c r="B593" s="307" t="s">
        <v>364</v>
      </c>
      <c r="C593" s="242">
        <v>2500</v>
      </c>
      <c r="D593" t="s">
        <v>361</v>
      </c>
      <c r="E593" s="5" t="s">
        <v>10</v>
      </c>
      <c r="F593" s="243">
        <v>3000</v>
      </c>
      <c r="G593" s="357"/>
      <c r="H593" s="357"/>
      <c r="I593" s="357"/>
      <c r="J593" s="357"/>
    </row>
    <row r="594" spans="2:10" hidden="1" x14ac:dyDescent="0.25">
      <c r="B594" s="195"/>
      <c r="C594" s="220"/>
      <c r="E594" s="5"/>
      <c r="F594" s="221"/>
      <c r="G594" s="357"/>
      <c r="H594" s="357"/>
      <c r="I594" s="357"/>
      <c r="J594" s="357"/>
    </row>
    <row r="595" spans="2:10" hidden="1" x14ac:dyDescent="0.25">
      <c r="B595" s="195" t="s">
        <v>353</v>
      </c>
      <c r="C595" s="248" t="s">
        <v>355</v>
      </c>
      <c r="E595" s="5" t="s">
        <v>354</v>
      </c>
      <c r="F595" s="247" t="s">
        <v>355</v>
      </c>
      <c r="G595" s="357"/>
      <c r="H595" s="357"/>
      <c r="I595" s="357"/>
      <c r="J595" s="357"/>
    </row>
    <row r="596" spans="2:10" hidden="1" x14ac:dyDescent="0.25">
      <c r="B596" s="195"/>
      <c r="C596" s="220"/>
      <c r="E596" s="5"/>
      <c r="F596" s="222"/>
    </row>
    <row r="597" spans="2:10" hidden="1" x14ac:dyDescent="0.25">
      <c r="B597" s="358" t="s">
        <v>471</v>
      </c>
      <c r="C597" s="359"/>
      <c r="D597" s="360">
        <f>val!G52</f>
        <v>0</v>
      </c>
      <c r="E597" s="361"/>
      <c r="F597" s="362"/>
    </row>
    <row r="598" spans="2:10" ht="6.6" hidden="1" customHeight="1" x14ac:dyDescent="0.25">
      <c r="B598" s="195"/>
      <c r="C598" s="220"/>
      <c r="E598" s="5"/>
      <c r="F598" s="310"/>
    </row>
    <row r="599" spans="2:10" ht="18" hidden="1" x14ac:dyDescent="0.25">
      <c r="B599" s="363" t="s">
        <v>472</v>
      </c>
      <c r="C599" s="364"/>
      <c r="D599" s="364"/>
      <c r="E599" s="364"/>
      <c r="F599" s="365"/>
    </row>
    <row r="600" spans="2:10" hidden="1" x14ac:dyDescent="0.25">
      <c r="B600" s="195" t="s">
        <v>242</v>
      </c>
      <c r="C600" s="249">
        <v>7</v>
      </c>
      <c r="D600" t="s">
        <v>356</v>
      </c>
      <c r="E600" s="5"/>
      <c r="F600" s="223"/>
      <c r="I600" s="5"/>
    </row>
    <row r="601" spans="2:10" ht="6.75" hidden="1" customHeight="1" x14ac:dyDescent="0.25">
      <c r="B601" s="193"/>
      <c r="F601" s="194"/>
    </row>
    <row r="602" spans="2:10" hidden="1" x14ac:dyDescent="0.25">
      <c r="B602" s="195" t="s">
        <v>474</v>
      </c>
      <c r="C602" s="249">
        <v>45</v>
      </c>
      <c r="D602" t="s">
        <v>356</v>
      </c>
      <c r="E602" s="5"/>
      <c r="F602" s="223"/>
    </row>
    <row r="603" spans="2:10" ht="6.75" hidden="1" customHeight="1" x14ac:dyDescent="0.25">
      <c r="B603" s="193"/>
      <c r="F603" s="194"/>
    </row>
    <row r="604" spans="2:10" hidden="1" x14ac:dyDescent="0.25">
      <c r="B604" s="195" t="s">
        <v>241</v>
      </c>
      <c r="C604" s="250">
        <v>2.2499999999999999E-2</v>
      </c>
      <c r="E604" s="5"/>
      <c r="F604" s="223"/>
    </row>
    <row r="605" spans="2:10" ht="6.75" hidden="1" customHeight="1" x14ac:dyDescent="0.25">
      <c r="B605" s="193"/>
      <c r="F605" s="194"/>
    </row>
    <row r="606" spans="2:10" hidden="1" x14ac:dyDescent="0.25">
      <c r="B606" s="195" t="s">
        <v>470</v>
      </c>
      <c r="C606" s="308">
        <f>val!G58</f>
        <v>0</v>
      </c>
      <c r="E606" s="5"/>
      <c r="F606" s="223"/>
    </row>
    <row r="607" spans="2:10" hidden="1" x14ac:dyDescent="0.25">
      <c r="B607" s="195"/>
      <c r="C607" s="224"/>
      <c r="E607" s="5"/>
      <c r="F607" s="223"/>
    </row>
    <row r="608" spans="2:10" hidden="1" x14ac:dyDescent="0.25">
      <c r="B608" s="358" t="s">
        <v>473</v>
      </c>
      <c r="C608" s="359"/>
      <c r="D608" s="360">
        <f>val!G59</f>
        <v>0</v>
      </c>
      <c r="E608" s="361"/>
      <c r="F608" s="362"/>
    </row>
    <row r="609" spans="2:6" hidden="1" x14ac:dyDescent="0.25">
      <c r="B609" s="205"/>
      <c r="C609" s="227" t="s">
        <v>375</v>
      </c>
      <c r="D609" s="366">
        <f>ROUNDDOWN(D608,-3)</f>
        <v>0</v>
      </c>
      <c r="E609" s="367"/>
      <c r="F609" s="368"/>
    </row>
    <row r="610" spans="2:6" ht="6.75" hidden="1" customHeight="1" x14ac:dyDescent="0.25">
      <c r="B610" s="193"/>
      <c r="F610" s="194"/>
    </row>
    <row r="611" spans="2:6" ht="36.75" hidden="1" customHeight="1" x14ac:dyDescent="0.25">
      <c r="B611" s="198" t="s">
        <v>363</v>
      </c>
      <c r="C611" s="369" t="s">
        <v>467</v>
      </c>
      <c r="D611" s="370"/>
      <c r="E611" s="370"/>
      <c r="F611" s="371"/>
    </row>
    <row r="612" spans="2:6" hidden="1" x14ac:dyDescent="0.25">
      <c r="B612" s="199"/>
      <c r="C612" s="200"/>
      <c r="D612" s="200"/>
      <c r="E612" s="200"/>
      <c r="F612" s="201"/>
    </row>
    <row r="613" spans="2:6" hidden="1" x14ac:dyDescent="0.25">
      <c r="B613" s="337" t="s">
        <v>324</v>
      </c>
      <c r="F613" s="194"/>
    </row>
    <row r="614" spans="2:6" hidden="1" x14ac:dyDescent="0.25">
      <c r="B614" s="195" t="s">
        <v>505</v>
      </c>
      <c r="C614" s="246" t="s">
        <v>240</v>
      </c>
      <c r="F614" s="194"/>
    </row>
    <row r="615" spans="2:6" hidden="1" x14ac:dyDescent="0.25">
      <c r="B615" s="193"/>
      <c r="F615" s="194"/>
    </row>
    <row r="616" spans="2:6" hidden="1" x14ac:dyDescent="0.25">
      <c r="B616" s="195" t="s">
        <v>239</v>
      </c>
      <c r="C616" s="246" t="s">
        <v>240</v>
      </c>
      <c r="D616" s="121"/>
      <c r="E616" s="2"/>
      <c r="F616" s="196"/>
    </row>
    <row r="617" spans="2:6" ht="6.75" hidden="1" customHeight="1" x14ac:dyDescent="0.25">
      <c r="B617" s="193"/>
      <c r="F617" s="194"/>
    </row>
    <row r="618" spans="2:6" ht="24.75" hidden="1" customHeight="1" x14ac:dyDescent="0.25">
      <c r="B618" s="363" t="s">
        <v>352</v>
      </c>
      <c r="C618" s="364"/>
      <c r="D618" s="364"/>
      <c r="E618" s="364"/>
      <c r="F618" s="365"/>
    </row>
    <row r="619" spans="2:6" hidden="1" x14ac:dyDescent="0.25">
      <c r="B619" s="195" t="s">
        <v>359</v>
      </c>
      <c r="C619" s="242"/>
      <c r="D619" t="s">
        <v>361</v>
      </c>
      <c r="E619" s="5" t="s">
        <v>10</v>
      </c>
      <c r="F619" s="243"/>
    </row>
    <row r="620" spans="2:6" hidden="1" x14ac:dyDescent="0.25">
      <c r="B620" s="195" t="s">
        <v>360</v>
      </c>
      <c r="C620" s="242"/>
      <c r="D620" t="s">
        <v>361</v>
      </c>
      <c r="E620" s="5" t="s">
        <v>10</v>
      </c>
      <c r="F620" s="243"/>
    </row>
    <row r="621" spans="2:6" hidden="1" x14ac:dyDescent="0.25">
      <c r="B621" s="195" t="s">
        <v>346</v>
      </c>
      <c r="C621" s="242">
        <v>1500</v>
      </c>
      <c r="D621" t="s">
        <v>361</v>
      </c>
      <c r="E621" s="5" t="s">
        <v>10</v>
      </c>
      <c r="F621" s="243"/>
    </row>
    <row r="622" spans="2:6" hidden="1" x14ac:dyDescent="0.25">
      <c r="B622" s="195" t="s">
        <v>165</v>
      </c>
      <c r="C622" s="242">
        <v>1200</v>
      </c>
      <c r="D622" t="s">
        <v>361</v>
      </c>
      <c r="E622" s="5" t="s">
        <v>10</v>
      </c>
      <c r="F622" s="243"/>
    </row>
    <row r="623" spans="2:6" hidden="1" x14ac:dyDescent="0.25">
      <c r="B623" s="195" t="s">
        <v>180</v>
      </c>
      <c r="C623" s="242">
        <v>1000</v>
      </c>
      <c r="D623" t="s">
        <v>361</v>
      </c>
      <c r="E623" s="5" t="s">
        <v>10</v>
      </c>
      <c r="F623" s="243"/>
    </row>
    <row r="624" spans="2:6" hidden="1" x14ac:dyDescent="0.25">
      <c r="B624" s="195" t="s">
        <v>347</v>
      </c>
      <c r="C624" s="242"/>
      <c r="D624" t="s">
        <v>361</v>
      </c>
      <c r="E624" s="5" t="s">
        <v>10</v>
      </c>
      <c r="F624" s="243"/>
    </row>
    <row r="625" spans="2:10" hidden="1" x14ac:dyDescent="0.25">
      <c r="B625" s="195" t="s">
        <v>348</v>
      </c>
      <c r="C625" s="242"/>
      <c r="D625" t="s">
        <v>361</v>
      </c>
      <c r="E625" s="5" t="s">
        <v>10</v>
      </c>
      <c r="F625" s="243"/>
    </row>
    <row r="626" spans="2:10" hidden="1" x14ac:dyDescent="0.25">
      <c r="B626" s="195" t="s">
        <v>362</v>
      </c>
      <c r="C626" s="242"/>
      <c r="D626" t="s">
        <v>361</v>
      </c>
      <c r="E626" s="5" t="s">
        <v>10</v>
      </c>
      <c r="F626" s="243"/>
    </row>
    <row r="627" spans="2:10" hidden="1" x14ac:dyDescent="0.25">
      <c r="B627" s="195" t="s">
        <v>349</v>
      </c>
      <c r="C627" s="242"/>
      <c r="D627" t="s">
        <v>361</v>
      </c>
      <c r="E627" s="5" t="s">
        <v>10</v>
      </c>
      <c r="F627" s="243"/>
    </row>
    <row r="628" spans="2:10" hidden="1" x14ac:dyDescent="0.25">
      <c r="B628" s="195" t="s">
        <v>350</v>
      </c>
      <c r="C628" s="242"/>
      <c r="D628" t="s">
        <v>361</v>
      </c>
      <c r="E628" s="5" t="s">
        <v>10</v>
      </c>
      <c r="F628" s="243"/>
    </row>
    <row r="629" spans="2:10" hidden="1" x14ac:dyDescent="0.25">
      <c r="B629" s="195" t="s">
        <v>351</v>
      </c>
      <c r="C629" s="242"/>
      <c r="D629" t="s">
        <v>361</v>
      </c>
      <c r="E629" s="5" t="s">
        <v>10</v>
      </c>
      <c r="F629" s="243"/>
    </row>
    <row r="630" spans="2:10" hidden="1" x14ac:dyDescent="0.25">
      <c r="B630" s="195" t="s">
        <v>469</v>
      </c>
      <c r="C630" s="242"/>
      <c r="D630" t="s">
        <v>361</v>
      </c>
      <c r="E630" s="5" t="s">
        <v>10</v>
      </c>
      <c r="F630" s="243"/>
    </row>
    <row r="631" spans="2:10" hidden="1" x14ac:dyDescent="0.25">
      <c r="B631" s="195" t="s">
        <v>358</v>
      </c>
      <c r="C631" s="242"/>
      <c r="D631" t="s">
        <v>361</v>
      </c>
      <c r="E631" s="5" t="s">
        <v>10</v>
      </c>
      <c r="F631" s="243"/>
    </row>
    <row r="632" spans="2:10" ht="6.75" hidden="1" customHeight="1" x14ac:dyDescent="0.25">
      <c r="B632" s="193"/>
      <c r="F632" s="194"/>
    </row>
    <row r="633" spans="2:10" hidden="1" x14ac:dyDescent="0.25">
      <c r="B633" s="205" t="s">
        <v>468</v>
      </c>
      <c r="C633" s="309">
        <f>SUM(C619:C631)</f>
        <v>3700</v>
      </c>
      <c r="E633" s="5"/>
      <c r="F633" s="306"/>
    </row>
    <row r="634" spans="2:10" hidden="1" x14ac:dyDescent="0.25">
      <c r="B634" s="195"/>
      <c r="C634" s="220"/>
      <c r="E634" s="5"/>
      <c r="F634" s="305"/>
    </row>
    <row r="635" spans="2:10" ht="15" hidden="1" customHeight="1" x14ac:dyDescent="0.25">
      <c r="B635" s="307" t="s">
        <v>364</v>
      </c>
      <c r="C635" s="242">
        <v>2500</v>
      </c>
      <c r="D635" t="s">
        <v>361</v>
      </c>
      <c r="E635" s="5" t="s">
        <v>10</v>
      </c>
      <c r="F635" s="243">
        <v>3000</v>
      </c>
      <c r="G635" s="357"/>
      <c r="H635" s="357"/>
      <c r="I635" s="357"/>
      <c r="J635" s="357"/>
    </row>
    <row r="636" spans="2:10" hidden="1" x14ac:dyDescent="0.25">
      <c r="B636" s="195"/>
      <c r="C636" s="220"/>
      <c r="E636" s="5"/>
      <c r="F636" s="221"/>
      <c r="G636" s="357"/>
      <c r="H636" s="357"/>
      <c r="I636" s="357"/>
      <c r="J636" s="357"/>
    </row>
    <row r="637" spans="2:10" hidden="1" x14ac:dyDescent="0.25">
      <c r="B637" s="195" t="s">
        <v>353</v>
      </c>
      <c r="C637" s="248" t="s">
        <v>355</v>
      </c>
      <c r="E637" s="5" t="s">
        <v>354</v>
      </c>
      <c r="F637" s="247" t="s">
        <v>355</v>
      </c>
      <c r="G637" s="357"/>
      <c r="H637" s="357"/>
      <c r="I637" s="357"/>
      <c r="J637" s="357"/>
    </row>
    <row r="638" spans="2:10" hidden="1" x14ac:dyDescent="0.25">
      <c r="B638" s="195"/>
      <c r="C638" s="220"/>
      <c r="E638" s="5"/>
      <c r="F638" s="222"/>
    </row>
    <row r="639" spans="2:10" hidden="1" x14ac:dyDescent="0.25">
      <c r="B639" s="358" t="s">
        <v>471</v>
      </c>
      <c r="C639" s="359"/>
      <c r="D639" s="360">
        <f>val!G94</f>
        <v>0</v>
      </c>
      <c r="E639" s="361"/>
      <c r="F639" s="362"/>
    </row>
    <row r="640" spans="2:10" ht="6.6" hidden="1" customHeight="1" x14ac:dyDescent="0.25">
      <c r="B640" s="195"/>
      <c r="C640" s="220"/>
      <c r="E640" s="5"/>
      <c r="F640" s="310"/>
    </row>
    <row r="641" spans="2:9" ht="18" hidden="1" x14ac:dyDescent="0.25">
      <c r="B641" s="363" t="s">
        <v>472</v>
      </c>
      <c r="C641" s="364"/>
      <c r="D641" s="364"/>
      <c r="E641" s="364"/>
      <c r="F641" s="365"/>
    </row>
    <row r="642" spans="2:9" hidden="1" x14ac:dyDescent="0.25">
      <c r="B642" s="195" t="s">
        <v>242</v>
      </c>
      <c r="C642" s="249">
        <v>7</v>
      </c>
      <c r="D642" t="s">
        <v>356</v>
      </c>
      <c r="E642" s="5"/>
      <c r="F642" s="223"/>
      <c r="I642" s="5"/>
    </row>
    <row r="643" spans="2:9" ht="6.75" hidden="1" customHeight="1" x14ac:dyDescent="0.25">
      <c r="B643" s="193"/>
      <c r="F643" s="194"/>
    </row>
    <row r="644" spans="2:9" hidden="1" x14ac:dyDescent="0.25">
      <c r="B644" s="195" t="s">
        <v>474</v>
      </c>
      <c r="C644" s="249">
        <v>45</v>
      </c>
      <c r="D644" t="s">
        <v>356</v>
      </c>
      <c r="E644" s="5"/>
      <c r="F644" s="223"/>
    </row>
    <row r="645" spans="2:9" ht="6.75" hidden="1" customHeight="1" x14ac:dyDescent="0.25">
      <c r="B645" s="193"/>
      <c r="F645" s="194"/>
    </row>
    <row r="646" spans="2:9" hidden="1" x14ac:dyDescent="0.25">
      <c r="B646" s="195" t="s">
        <v>241</v>
      </c>
      <c r="C646" s="250">
        <v>2.2499999999999999E-2</v>
      </c>
      <c r="E646" s="5"/>
      <c r="F646" s="223"/>
    </row>
    <row r="647" spans="2:9" ht="6.75" hidden="1" customHeight="1" x14ac:dyDescent="0.25">
      <c r="B647" s="193"/>
      <c r="F647" s="194"/>
    </row>
    <row r="648" spans="2:9" hidden="1" x14ac:dyDescent="0.25">
      <c r="B648" s="195" t="s">
        <v>470</v>
      </c>
      <c r="C648" s="308">
        <f>val!G100</f>
        <v>0</v>
      </c>
      <c r="E648" s="5"/>
      <c r="F648" s="223"/>
    </row>
    <row r="649" spans="2:9" hidden="1" x14ac:dyDescent="0.25">
      <c r="B649" s="195"/>
      <c r="C649" s="224"/>
      <c r="E649" s="5"/>
      <c r="F649" s="223"/>
    </row>
    <row r="650" spans="2:9" hidden="1" x14ac:dyDescent="0.25">
      <c r="B650" s="358" t="s">
        <v>473</v>
      </c>
      <c r="C650" s="359"/>
      <c r="D650" s="360">
        <f>val!G101</f>
        <v>0</v>
      </c>
      <c r="E650" s="361"/>
      <c r="F650" s="362"/>
    </row>
    <row r="651" spans="2:9" hidden="1" x14ac:dyDescent="0.25">
      <c r="B651" s="205"/>
      <c r="C651" s="227" t="s">
        <v>375</v>
      </c>
      <c r="D651" s="366">
        <f>ROUNDDOWN(D650,-3)</f>
        <v>0</v>
      </c>
      <c r="E651" s="367"/>
      <c r="F651" s="368"/>
    </row>
    <row r="652" spans="2:9" ht="6.75" hidden="1" customHeight="1" x14ac:dyDescent="0.25">
      <c r="B652" s="193"/>
      <c r="F652" s="194"/>
    </row>
    <row r="653" spans="2:9" ht="36.75" hidden="1" customHeight="1" x14ac:dyDescent="0.25">
      <c r="B653" s="198" t="s">
        <v>363</v>
      </c>
      <c r="C653" s="369" t="s">
        <v>467</v>
      </c>
      <c r="D653" s="370"/>
      <c r="E653" s="370"/>
      <c r="F653" s="371"/>
    </row>
    <row r="654" spans="2:9" hidden="1" x14ac:dyDescent="0.25">
      <c r="B654" s="199"/>
      <c r="C654" s="200"/>
      <c r="D654" s="200"/>
      <c r="E654" s="200"/>
      <c r="F654" s="201"/>
    </row>
    <row r="655" spans="2:9" hidden="1" x14ac:dyDescent="0.25">
      <c r="B655" s="337" t="s">
        <v>325</v>
      </c>
      <c r="F655" s="194"/>
    </row>
    <row r="656" spans="2:9" hidden="1" x14ac:dyDescent="0.25">
      <c r="B656" s="195" t="s">
        <v>505</v>
      </c>
      <c r="C656" s="246" t="s">
        <v>240</v>
      </c>
      <c r="F656" s="194"/>
    </row>
    <row r="657" spans="2:6" hidden="1" x14ac:dyDescent="0.25">
      <c r="B657" s="193"/>
      <c r="F657" s="194"/>
    </row>
    <row r="658" spans="2:6" hidden="1" x14ac:dyDescent="0.25">
      <c r="B658" s="195" t="s">
        <v>239</v>
      </c>
      <c r="C658" s="246" t="s">
        <v>240</v>
      </c>
      <c r="D658" s="121"/>
      <c r="E658" s="2"/>
      <c r="F658" s="196"/>
    </row>
    <row r="659" spans="2:6" ht="6.75" hidden="1" customHeight="1" x14ac:dyDescent="0.25">
      <c r="B659" s="193"/>
      <c r="F659" s="194"/>
    </row>
    <row r="660" spans="2:6" ht="24.75" hidden="1" customHeight="1" x14ac:dyDescent="0.25">
      <c r="B660" s="363" t="s">
        <v>352</v>
      </c>
      <c r="C660" s="364"/>
      <c r="D660" s="364"/>
      <c r="E660" s="364"/>
      <c r="F660" s="365"/>
    </row>
    <row r="661" spans="2:6" hidden="1" x14ac:dyDescent="0.25">
      <c r="B661" s="195" t="s">
        <v>359</v>
      </c>
      <c r="C661" s="242"/>
      <c r="D661" t="s">
        <v>361</v>
      </c>
      <c r="E661" s="5" t="s">
        <v>10</v>
      </c>
      <c r="F661" s="243"/>
    </row>
    <row r="662" spans="2:6" hidden="1" x14ac:dyDescent="0.25">
      <c r="B662" s="195" t="s">
        <v>360</v>
      </c>
      <c r="C662" s="242"/>
      <c r="D662" t="s">
        <v>361</v>
      </c>
      <c r="E662" s="5" t="s">
        <v>10</v>
      </c>
      <c r="F662" s="243"/>
    </row>
    <row r="663" spans="2:6" hidden="1" x14ac:dyDescent="0.25">
      <c r="B663" s="195" t="s">
        <v>346</v>
      </c>
      <c r="C663" s="242">
        <v>1500</v>
      </c>
      <c r="D663" t="s">
        <v>361</v>
      </c>
      <c r="E663" s="5" t="s">
        <v>10</v>
      </c>
      <c r="F663" s="243"/>
    </row>
    <row r="664" spans="2:6" hidden="1" x14ac:dyDescent="0.25">
      <c r="B664" s="195" t="s">
        <v>165</v>
      </c>
      <c r="C664" s="242">
        <v>1200</v>
      </c>
      <c r="D664" t="s">
        <v>361</v>
      </c>
      <c r="E664" s="5" t="s">
        <v>10</v>
      </c>
      <c r="F664" s="243"/>
    </row>
    <row r="665" spans="2:6" hidden="1" x14ac:dyDescent="0.25">
      <c r="B665" s="195" t="s">
        <v>180</v>
      </c>
      <c r="C665" s="242">
        <v>1000</v>
      </c>
      <c r="D665" t="s">
        <v>361</v>
      </c>
      <c r="E665" s="5" t="s">
        <v>10</v>
      </c>
      <c r="F665" s="243"/>
    </row>
    <row r="666" spans="2:6" hidden="1" x14ac:dyDescent="0.25">
      <c r="B666" s="195" t="s">
        <v>347</v>
      </c>
      <c r="C666" s="242"/>
      <c r="D666" t="s">
        <v>361</v>
      </c>
      <c r="E666" s="5" t="s">
        <v>10</v>
      </c>
      <c r="F666" s="243"/>
    </row>
    <row r="667" spans="2:6" hidden="1" x14ac:dyDescent="0.25">
      <c r="B667" s="195" t="s">
        <v>348</v>
      </c>
      <c r="C667" s="242"/>
      <c r="D667" t="s">
        <v>361</v>
      </c>
      <c r="E667" s="5" t="s">
        <v>10</v>
      </c>
      <c r="F667" s="243"/>
    </row>
    <row r="668" spans="2:6" hidden="1" x14ac:dyDescent="0.25">
      <c r="B668" s="195" t="s">
        <v>362</v>
      </c>
      <c r="C668" s="242"/>
      <c r="D668" t="s">
        <v>361</v>
      </c>
      <c r="E668" s="5" t="s">
        <v>10</v>
      </c>
      <c r="F668" s="243"/>
    </row>
    <row r="669" spans="2:6" hidden="1" x14ac:dyDescent="0.25">
      <c r="B669" s="195" t="s">
        <v>349</v>
      </c>
      <c r="C669" s="242"/>
      <c r="D669" t="s">
        <v>361</v>
      </c>
      <c r="E669" s="5" t="s">
        <v>10</v>
      </c>
      <c r="F669" s="243"/>
    </row>
    <row r="670" spans="2:6" hidden="1" x14ac:dyDescent="0.25">
      <c r="B670" s="195" t="s">
        <v>350</v>
      </c>
      <c r="C670" s="242"/>
      <c r="D670" t="s">
        <v>361</v>
      </c>
      <c r="E670" s="5" t="s">
        <v>10</v>
      </c>
      <c r="F670" s="243"/>
    </row>
    <row r="671" spans="2:6" hidden="1" x14ac:dyDescent="0.25">
      <c r="B671" s="195" t="s">
        <v>351</v>
      </c>
      <c r="C671" s="242"/>
      <c r="D671" t="s">
        <v>361</v>
      </c>
      <c r="E671" s="5" t="s">
        <v>10</v>
      </c>
      <c r="F671" s="243"/>
    </row>
    <row r="672" spans="2:6" hidden="1" x14ac:dyDescent="0.25">
      <c r="B672" s="195" t="s">
        <v>469</v>
      </c>
      <c r="C672" s="242"/>
      <c r="D672" t="s">
        <v>361</v>
      </c>
      <c r="E672" s="5" t="s">
        <v>10</v>
      </c>
      <c r="F672" s="243"/>
    </row>
    <row r="673" spans="2:10" hidden="1" x14ac:dyDescent="0.25">
      <c r="B673" s="195" t="s">
        <v>358</v>
      </c>
      <c r="C673" s="242"/>
      <c r="D673" t="s">
        <v>361</v>
      </c>
      <c r="E673" s="5" t="s">
        <v>10</v>
      </c>
      <c r="F673" s="243"/>
    </row>
    <row r="674" spans="2:10" ht="6.75" hidden="1" customHeight="1" x14ac:dyDescent="0.25">
      <c r="B674" s="193"/>
      <c r="F674" s="194"/>
    </row>
    <row r="675" spans="2:10" hidden="1" x14ac:dyDescent="0.25">
      <c r="B675" s="205" t="s">
        <v>468</v>
      </c>
      <c r="C675" s="309">
        <f>SUM(C661:C673)</f>
        <v>3700</v>
      </c>
      <c r="E675" s="5"/>
      <c r="F675" s="306"/>
    </row>
    <row r="676" spans="2:10" hidden="1" x14ac:dyDescent="0.25">
      <c r="B676" s="195"/>
      <c r="C676" s="220"/>
      <c r="E676" s="5"/>
      <c r="F676" s="305"/>
    </row>
    <row r="677" spans="2:10" ht="15" hidden="1" customHeight="1" x14ac:dyDescent="0.25">
      <c r="B677" s="307" t="s">
        <v>364</v>
      </c>
      <c r="C677" s="242">
        <v>2500</v>
      </c>
      <c r="D677" t="s">
        <v>361</v>
      </c>
      <c r="E677" s="5" t="s">
        <v>10</v>
      </c>
      <c r="F677" s="243">
        <v>3000</v>
      </c>
      <c r="G677" s="357"/>
      <c r="H677" s="357"/>
      <c r="I677" s="357"/>
      <c r="J677" s="357"/>
    </row>
    <row r="678" spans="2:10" hidden="1" x14ac:dyDescent="0.25">
      <c r="B678" s="195"/>
      <c r="C678" s="220"/>
      <c r="E678" s="5"/>
      <c r="F678" s="221"/>
      <c r="G678" s="357"/>
      <c r="H678" s="357"/>
      <c r="I678" s="357"/>
      <c r="J678" s="357"/>
    </row>
    <row r="679" spans="2:10" hidden="1" x14ac:dyDescent="0.25">
      <c r="B679" s="195" t="s">
        <v>353</v>
      </c>
      <c r="C679" s="248" t="s">
        <v>355</v>
      </c>
      <c r="E679" s="5" t="s">
        <v>354</v>
      </c>
      <c r="F679" s="247" t="s">
        <v>355</v>
      </c>
      <c r="G679" s="357"/>
      <c r="H679" s="357"/>
      <c r="I679" s="357"/>
      <c r="J679" s="357"/>
    </row>
    <row r="680" spans="2:10" hidden="1" x14ac:dyDescent="0.25">
      <c r="B680" s="195"/>
      <c r="C680" s="220"/>
      <c r="E680" s="5"/>
      <c r="F680" s="222"/>
    </row>
    <row r="681" spans="2:10" hidden="1" x14ac:dyDescent="0.25">
      <c r="B681" s="358" t="s">
        <v>471</v>
      </c>
      <c r="C681" s="359"/>
      <c r="D681" s="360">
        <f>val!G136</f>
        <v>0</v>
      </c>
      <c r="E681" s="361"/>
      <c r="F681" s="362"/>
    </row>
    <row r="682" spans="2:10" ht="6.6" hidden="1" customHeight="1" x14ac:dyDescent="0.25">
      <c r="B682" s="195"/>
      <c r="C682" s="220"/>
      <c r="E682" s="5"/>
      <c r="F682" s="310"/>
    </row>
    <row r="683" spans="2:10" ht="18" hidden="1" x14ac:dyDescent="0.25">
      <c r="B683" s="363" t="s">
        <v>472</v>
      </c>
      <c r="C683" s="364"/>
      <c r="D683" s="364"/>
      <c r="E683" s="364"/>
      <c r="F683" s="365"/>
    </row>
    <row r="684" spans="2:10" hidden="1" x14ac:dyDescent="0.25">
      <c r="B684" s="195" t="s">
        <v>242</v>
      </c>
      <c r="C684" s="249">
        <v>7</v>
      </c>
      <c r="D684" t="s">
        <v>356</v>
      </c>
      <c r="E684" s="5"/>
      <c r="F684" s="223"/>
      <c r="I684" s="5"/>
    </row>
    <row r="685" spans="2:10" ht="6.75" hidden="1" customHeight="1" x14ac:dyDescent="0.25">
      <c r="B685" s="193"/>
      <c r="F685" s="194"/>
    </row>
    <row r="686" spans="2:10" hidden="1" x14ac:dyDescent="0.25">
      <c r="B686" s="195" t="s">
        <v>474</v>
      </c>
      <c r="C686" s="249">
        <v>45</v>
      </c>
      <c r="D686" t="s">
        <v>356</v>
      </c>
      <c r="E686" s="5"/>
      <c r="F686" s="223"/>
    </row>
    <row r="687" spans="2:10" ht="6.75" hidden="1" customHeight="1" x14ac:dyDescent="0.25">
      <c r="B687" s="193"/>
      <c r="F687" s="194"/>
    </row>
    <row r="688" spans="2:10" hidden="1" x14ac:dyDescent="0.25">
      <c r="B688" s="195" t="s">
        <v>241</v>
      </c>
      <c r="C688" s="250">
        <v>2.2499999999999999E-2</v>
      </c>
      <c r="E688" s="5"/>
      <c r="F688" s="223"/>
    </row>
    <row r="689" spans="2:6" ht="6.75" hidden="1" customHeight="1" x14ac:dyDescent="0.25">
      <c r="B689" s="193"/>
      <c r="F689" s="194"/>
    </row>
    <row r="690" spans="2:6" hidden="1" x14ac:dyDescent="0.25">
      <c r="B690" s="195" t="s">
        <v>470</v>
      </c>
      <c r="C690" s="308">
        <f>val!G142</f>
        <v>0</v>
      </c>
      <c r="E690" s="5"/>
      <c r="F690" s="223"/>
    </row>
    <row r="691" spans="2:6" hidden="1" x14ac:dyDescent="0.25">
      <c r="B691" s="195"/>
      <c r="C691" s="224"/>
      <c r="E691" s="5"/>
      <c r="F691" s="223"/>
    </row>
    <row r="692" spans="2:6" hidden="1" x14ac:dyDescent="0.25">
      <c r="B692" s="358" t="s">
        <v>473</v>
      </c>
      <c r="C692" s="359"/>
      <c r="D692" s="360">
        <f>val!G143</f>
        <v>0</v>
      </c>
      <c r="E692" s="361"/>
      <c r="F692" s="362"/>
    </row>
    <row r="693" spans="2:6" hidden="1" x14ac:dyDescent="0.25">
      <c r="B693" s="205"/>
      <c r="C693" s="227" t="s">
        <v>375</v>
      </c>
      <c r="D693" s="366">
        <f>ROUNDDOWN(D692,-3)</f>
        <v>0</v>
      </c>
      <c r="E693" s="367"/>
      <c r="F693" s="368"/>
    </row>
    <row r="694" spans="2:6" ht="6.75" hidden="1" customHeight="1" x14ac:dyDescent="0.25">
      <c r="B694" s="193"/>
      <c r="F694" s="194"/>
    </row>
    <row r="695" spans="2:6" ht="36.75" hidden="1" customHeight="1" x14ac:dyDescent="0.25">
      <c r="B695" s="198" t="s">
        <v>363</v>
      </c>
      <c r="C695" s="369" t="s">
        <v>467</v>
      </c>
      <c r="D695" s="370"/>
      <c r="E695" s="370"/>
      <c r="F695" s="371"/>
    </row>
    <row r="696" spans="2:6" hidden="1" x14ac:dyDescent="0.25">
      <c r="B696" s="199"/>
      <c r="C696" s="200"/>
      <c r="D696" s="200"/>
      <c r="E696" s="200"/>
      <c r="F696" s="201"/>
    </row>
    <row r="697" spans="2:6" hidden="1" x14ac:dyDescent="0.25">
      <c r="B697" s="337" t="s">
        <v>328</v>
      </c>
      <c r="F697" s="194"/>
    </row>
    <row r="698" spans="2:6" hidden="1" x14ac:dyDescent="0.25">
      <c r="B698" s="195" t="s">
        <v>505</v>
      </c>
      <c r="C698" s="246" t="s">
        <v>240</v>
      </c>
      <c r="F698" s="194"/>
    </row>
    <row r="699" spans="2:6" hidden="1" x14ac:dyDescent="0.25">
      <c r="B699" s="193"/>
      <c r="F699" s="194"/>
    </row>
    <row r="700" spans="2:6" hidden="1" x14ac:dyDescent="0.25">
      <c r="B700" s="195" t="s">
        <v>239</v>
      </c>
      <c r="C700" s="246" t="s">
        <v>240</v>
      </c>
      <c r="D700" s="121"/>
      <c r="E700" s="2"/>
      <c r="F700" s="196"/>
    </row>
    <row r="701" spans="2:6" ht="6.75" hidden="1" customHeight="1" x14ac:dyDescent="0.25">
      <c r="B701" s="193"/>
      <c r="F701" s="194"/>
    </row>
    <row r="702" spans="2:6" ht="24.75" hidden="1" customHeight="1" x14ac:dyDescent="0.25">
      <c r="B702" s="363" t="s">
        <v>352</v>
      </c>
      <c r="C702" s="364"/>
      <c r="D702" s="364"/>
      <c r="E702" s="364"/>
      <c r="F702" s="365"/>
    </row>
    <row r="703" spans="2:6" hidden="1" x14ac:dyDescent="0.25">
      <c r="B703" s="195" t="s">
        <v>359</v>
      </c>
      <c r="C703" s="242"/>
      <c r="D703" t="s">
        <v>361</v>
      </c>
      <c r="E703" s="5" t="s">
        <v>10</v>
      </c>
      <c r="F703" s="243"/>
    </row>
    <row r="704" spans="2:6" hidden="1" x14ac:dyDescent="0.25">
      <c r="B704" s="195" t="s">
        <v>360</v>
      </c>
      <c r="C704" s="242"/>
      <c r="D704" t="s">
        <v>361</v>
      </c>
      <c r="E704" s="5" t="s">
        <v>10</v>
      </c>
      <c r="F704" s="243"/>
    </row>
    <row r="705" spans="2:10" hidden="1" x14ac:dyDescent="0.25">
      <c r="B705" s="195" t="s">
        <v>346</v>
      </c>
      <c r="C705" s="242">
        <v>1500</v>
      </c>
      <c r="D705" t="s">
        <v>361</v>
      </c>
      <c r="E705" s="5" t="s">
        <v>10</v>
      </c>
      <c r="F705" s="243"/>
    </row>
    <row r="706" spans="2:10" hidden="1" x14ac:dyDescent="0.25">
      <c r="B706" s="195" t="s">
        <v>165</v>
      </c>
      <c r="C706" s="242">
        <v>1200</v>
      </c>
      <c r="D706" t="s">
        <v>361</v>
      </c>
      <c r="E706" s="5" t="s">
        <v>10</v>
      </c>
      <c r="F706" s="243"/>
    </row>
    <row r="707" spans="2:10" hidden="1" x14ac:dyDescent="0.25">
      <c r="B707" s="195" t="s">
        <v>180</v>
      </c>
      <c r="C707" s="242">
        <v>1000</v>
      </c>
      <c r="D707" t="s">
        <v>361</v>
      </c>
      <c r="E707" s="5" t="s">
        <v>10</v>
      </c>
      <c r="F707" s="243"/>
    </row>
    <row r="708" spans="2:10" hidden="1" x14ac:dyDescent="0.25">
      <c r="B708" s="195" t="s">
        <v>347</v>
      </c>
      <c r="C708" s="242"/>
      <c r="D708" t="s">
        <v>361</v>
      </c>
      <c r="E708" s="5" t="s">
        <v>10</v>
      </c>
      <c r="F708" s="243"/>
    </row>
    <row r="709" spans="2:10" hidden="1" x14ac:dyDescent="0.25">
      <c r="B709" s="195" t="s">
        <v>348</v>
      </c>
      <c r="C709" s="242"/>
      <c r="D709" t="s">
        <v>361</v>
      </c>
      <c r="E709" s="5" t="s">
        <v>10</v>
      </c>
      <c r="F709" s="243"/>
    </row>
    <row r="710" spans="2:10" hidden="1" x14ac:dyDescent="0.25">
      <c r="B710" s="195" t="s">
        <v>362</v>
      </c>
      <c r="C710" s="242"/>
      <c r="D710" t="s">
        <v>361</v>
      </c>
      <c r="E710" s="5" t="s">
        <v>10</v>
      </c>
      <c r="F710" s="243"/>
    </row>
    <row r="711" spans="2:10" hidden="1" x14ac:dyDescent="0.25">
      <c r="B711" s="195" t="s">
        <v>349</v>
      </c>
      <c r="C711" s="242"/>
      <c r="D711" t="s">
        <v>361</v>
      </c>
      <c r="E711" s="5" t="s">
        <v>10</v>
      </c>
      <c r="F711" s="243"/>
    </row>
    <row r="712" spans="2:10" hidden="1" x14ac:dyDescent="0.25">
      <c r="B712" s="195" t="s">
        <v>350</v>
      </c>
      <c r="C712" s="242"/>
      <c r="D712" t="s">
        <v>361</v>
      </c>
      <c r="E712" s="5" t="s">
        <v>10</v>
      </c>
      <c r="F712" s="243"/>
    </row>
    <row r="713" spans="2:10" hidden="1" x14ac:dyDescent="0.25">
      <c r="B713" s="195" t="s">
        <v>351</v>
      </c>
      <c r="C713" s="242"/>
      <c r="D713" t="s">
        <v>361</v>
      </c>
      <c r="E713" s="5" t="s">
        <v>10</v>
      </c>
      <c r="F713" s="243"/>
    </row>
    <row r="714" spans="2:10" hidden="1" x14ac:dyDescent="0.25">
      <c r="B714" s="195" t="s">
        <v>469</v>
      </c>
      <c r="C714" s="242"/>
      <c r="D714" t="s">
        <v>361</v>
      </c>
      <c r="E714" s="5" t="s">
        <v>10</v>
      </c>
      <c r="F714" s="243"/>
    </row>
    <row r="715" spans="2:10" hidden="1" x14ac:dyDescent="0.25">
      <c r="B715" s="195" t="s">
        <v>358</v>
      </c>
      <c r="C715" s="242"/>
      <c r="D715" t="s">
        <v>361</v>
      </c>
      <c r="E715" s="5" t="s">
        <v>10</v>
      </c>
      <c r="F715" s="243"/>
    </row>
    <row r="716" spans="2:10" ht="6.75" hidden="1" customHeight="1" x14ac:dyDescent="0.25">
      <c r="B716" s="193"/>
      <c r="F716" s="194"/>
    </row>
    <row r="717" spans="2:10" hidden="1" x14ac:dyDescent="0.25">
      <c r="B717" s="205" t="s">
        <v>468</v>
      </c>
      <c r="C717" s="309">
        <f>SUM(C703:C715)</f>
        <v>3700</v>
      </c>
      <c r="E717" s="5"/>
      <c r="F717" s="306"/>
    </row>
    <row r="718" spans="2:10" hidden="1" x14ac:dyDescent="0.25">
      <c r="B718" s="195"/>
      <c r="C718" s="220"/>
      <c r="E718" s="5"/>
      <c r="F718" s="305"/>
    </row>
    <row r="719" spans="2:10" ht="15" hidden="1" customHeight="1" x14ac:dyDescent="0.25">
      <c r="B719" s="307" t="s">
        <v>364</v>
      </c>
      <c r="C719" s="242">
        <v>2500</v>
      </c>
      <c r="D719" t="s">
        <v>361</v>
      </c>
      <c r="E719" s="5" t="s">
        <v>10</v>
      </c>
      <c r="F719" s="243">
        <v>3000</v>
      </c>
      <c r="G719" s="357"/>
      <c r="H719" s="357"/>
      <c r="I719" s="357"/>
      <c r="J719" s="357"/>
    </row>
    <row r="720" spans="2:10" hidden="1" x14ac:dyDescent="0.25">
      <c r="B720" s="195"/>
      <c r="C720" s="220"/>
      <c r="E720" s="5"/>
      <c r="F720" s="221"/>
      <c r="G720" s="357"/>
      <c r="H720" s="357"/>
      <c r="I720" s="357"/>
      <c r="J720" s="357"/>
    </row>
    <row r="721" spans="2:10" hidden="1" x14ac:dyDescent="0.25">
      <c r="B721" s="195" t="s">
        <v>353</v>
      </c>
      <c r="C721" s="248" t="s">
        <v>355</v>
      </c>
      <c r="E721" s="5" t="s">
        <v>354</v>
      </c>
      <c r="F721" s="247" t="s">
        <v>355</v>
      </c>
      <c r="G721" s="357"/>
      <c r="H721" s="357"/>
      <c r="I721" s="357"/>
      <c r="J721" s="357"/>
    </row>
    <row r="722" spans="2:10" hidden="1" x14ac:dyDescent="0.25">
      <c r="B722" s="195"/>
      <c r="C722" s="220"/>
      <c r="E722" s="5"/>
      <c r="F722" s="222"/>
    </row>
    <row r="723" spans="2:10" hidden="1" x14ac:dyDescent="0.25">
      <c r="B723" s="358" t="s">
        <v>471</v>
      </c>
      <c r="C723" s="359"/>
      <c r="D723" s="360">
        <f>val!G178</f>
        <v>0</v>
      </c>
      <c r="E723" s="361"/>
      <c r="F723" s="362"/>
    </row>
    <row r="724" spans="2:10" ht="6.6" hidden="1" customHeight="1" x14ac:dyDescent="0.25">
      <c r="B724" s="195"/>
      <c r="C724" s="220"/>
      <c r="E724" s="5"/>
      <c r="F724" s="310"/>
    </row>
    <row r="725" spans="2:10" ht="18" hidden="1" x14ac:dyDescent="0.25">
      <c r="B725" s="363" t="s">
        <v>472</v>
      </c>
      <c r="C725" s="364"/>
      <c r="D725" s="364"/>
      <c r="E725" s="364"/>
      <c r="F725" s="365"/>
    </row>
    <row r="726" spans="2:10" hidden="1" x14ac:dyDescent="0.25">
      <c r="B726" s="195" t="s">
        <v>242</v>
      </c>
      <c r="C726" s="249">
        <v>7</v>
      </c>
      <c r="D726" t="s">
        <v>356</v>
      </c>
      <c r="E726" s="5"/>
      <c r="F726" s="223"/>
      <c r="I726" s="5"/>
    </row>
    <row r="727" spans="2:10" ht="6.75" hidden="1" customHeight="1" x14ac:dyDescent="0.25">
      <c r="B727" s="193"/>
      <c r="F727" s="194"/>
    </row>
    <row r="728" spans="2:10" hidden="1" x14ac:dyDescent="0.25">
      <c r="B728" s="195" t="s">
        <v>474</v>
      </c>
      <c r="C728" s="249">
        <v>45</v>
      </c>
      <c r="D728" t="s">
        <v>356</v>
      </c>
      <c r="E728" s="5"/>
      <c r="F728" s="223"/>
    </row>
    <row r="729" spans="2:10" ht="6.75" hidden="1" customHeight="1" x14ac:dyDescent="0.25">
      <c r="B729" s="193"/>
      <c r="F729" s="194"/>
    </row>
    <row r="730" spans="2:10" hidden="1" x14ac:dyDescent="0.25">
      <c r="B730" s="195" t="s">
        <v>241</v>
      </c>
      <c r="C730" s="250">
        <v>2.2499999999999999E-2</v>
      </c>
      <c r="E730" s="5"/>
      <c r="F730" s="223"/>
    </row>
    <row r="731" spans="2:10" ht="6.75" hidden="1" customHeight="1" x14ac:dyDescent="0.25">
      <c r="B731" s="193"/>
      <c r="F731" s="194"/>
    </row>
    <row r="732" spans="2:10" hidden="1" x14ac:dyDescent="0.25">
      <c r="B732" s="195" t="s">
        <v>470</v>
      </c>
      <c r="C732" s="308">
        <f>val!G184</f>
        <v>0</v>
      </c>
      <c r="E732" s="5"/>
      <c r="F732" s="223"/>
    </row>
    <row r="733" spans="2:10" hidden="1" x14ac:dyDescent="0.25">
      <c r="B733" s="195"/>
      <c r="C733" s="224"/>
      <c r="E733" s="5"/>
      <c r="F733" s="223"/>
    </row>
    <row r="734" spans="2:10" hidden="1" x14ac:dyDescent="0.25">
      <c r="B734" s="358" t="s">
        <v>473</v>
      </c>
      <c r="C734" s="359"/>
      <c r="D734" s="360">
        <f>val!G185</f>
        <v>0</v>
      </c>
      <c r="E734" s="361"/>
      <c r="F734" s="362"/>
    </row>
    <row r="735" spans="2:10" hidden="1" x14ac:dyDescent="0.25">
      <c r="B735" s="205"/>
      <c r="C735" s="227" t="s">
        <v>375</v>
      </c>
      <c r="D735" s="366">
        <f>ROUNDDOWN(D734,-3)</f>
        <v>0</v>
      </c>
      <c r="E735" s="367"/>
      <c r="F735" s="368"/>
    </row>
    <row r="736" spans="2:10" ht="6.75" hidden="1" customHeight="1" x14ac:dyDescent="0.25">
      <c r="B736" s="193"/>
      <c r="F736" s="194"/>
    </row>
    <row r="737" spans="2:8" ht="36.75" hidden="1" customHeight="1" x14ac:dyDescent="0.25">
      <c r="B737" s="198" t="s">
        <v>363</v>
      </c>
      <c r="C737" s="369" t="s">
        <v>467</v>
      </c>
      <c r="D737" s="370"/>
      <c r="E737" s="370"/>
      <c r="F737" s="371"/>
    </row>
    <row r="738" spans="2:8" ht="11.25" hidden="1" thickBot="1" x14ac:dyDescent="0.3">
      <c r="B738" s="199"/>
      <c r="C738" s="200"/>
      <c r="D738" s="200"/>
      <c r="E738" s="200"/>
      <c r="F738" s="201"/>
    </row>
    <row r="739" spans="2:8" ht="15.75" thickBot="1" x14ac:dyDescent="0.3"/>
    <row r="740" spans="2:8" ht="20.25" thickBot="1" x14ac:dyDescent="0.3">
      <c r="B740" s="374" t="s">
        <v>372</v>
      </c>
      <c r="C740" s="375"/>
      <c r="D740" s="375"/>
      <c r="E740" s="375"/>
      <c r="F740" s="376"/>
    </row>
    <row r="741" spans="2:8" ht="15.75" thickBot="1" x14ac:dyDescent="0.3">
      <c r="B741" s="331"/>
      <c r="C741" s="219"/>
      <c r="D741" s="219"/>
      <c r="E741" s="219"/>
      <c r="F741" s="332"/>
    </row>
    <row r="742" spans="2:8" ht="19.5" x14ac:dyDescent="0.3">
      <c r="B742" s="372" t="s">
        <v>506</v>
      </c>
      <c r="C742" s="373"/>
      <c r="F742" s="194"/>
    </row>
    <row r="743" spans="2:8" x14ac:dyDescent="0.25">
      <c r="B743" s="395" t="s">
        <v>373</v>
      </c>
      <c r="C743" s="397"/>
      <c r="D743" s="398">
        <f>C224</f>
        <v>7318499.9999999991</v>
      </c>
      <c r="E743" s="399"/>
      <c r="F743" s="400"/>
    </row>
    <row r="744" spans="2:8" x14ac:dyDescent="0.25">
      <c r="B744" s="198"/>
      <c r="C744" s="227" t="s">
        <v>375</v>
      </c>
      <c r="D744" s="366">
        <f>ROUNDDOWN(D743,-3)</f>
        <v>7318000</v>
      </c>
      <c r="E744" s="367"/>
      <c r="F744" s="368"/>
    </row>
    <row r="745" spans="2:8" ht="15.75" thickBot="1" x14ac:dyDescent="0.3">
      <c r="B745" s="198"/>
      <c r="C745" s="227"/>
      <c r="D745" s="228"/>
      <c r="E745" s="228"/>
      <c r="F745" s="230"/>
      <c r="H745" s="1"/>
    </row>
    <row r="746" spans="2:8" x14ac:dyDescent="0.25">
      <c r="B746" s="326"/>
      <c r="C746" s="341"/>
      <c r="D746" s="342"/>
      <c r="E746" s="342"/>
      <c r="F746" s="343"/>
      <c r="H746" s="1"/>
    </row>
    <row r="747" spans="2:8" ht="19.5" x14ac:dyDescent="0.3">
      <c r="B747" s="405" t="s">
        <v>145</v>
      </c>
      <c r="C747" s="406"/>
      <c r="D747" s="330"/>
      <c r="E747" s="330"/>
      <c r="F747" s="340"/>
      <c r="H747" s="1"/>
    </row>
    <row r="748" spans="2:8" x14ac:dyDescent="0.25">
      <c r="B748" s="395" t="s">
        <v>374</v>
      </c>
      <c r="C748" s="397"/>
      <c r="D748" s="401" t="s">
        <v>44</v>
      </c>
      <c r="E748" s="402"/>
      <c r="F748" s="403"/>
    </row>
    <row r="749" spans="2:8" x14ac:dyDescent="0.25">
      <c r="B749" s="198"/>
      <c r="C749" s="227" t="s">
        <v>375</v>
      </c>
      <c r="D749" s="401" t="s">
        <v>44</v>
      </c>
      <c r="E749" s="402"/>
      <c r="F749" s="403"/>
    </row>
    <row r="750" spans="2:8" ht="15.75" thickBot="1" x14ac:dyDescent="0.3">
      <c r="B750" s="231"/>
      <c r="C750" s="232"/>
      <c r="D750" s="234"/>
      <c r="E750" s="234"/>
      <c r="F750" s="235"/>
    </row>
    <row r="751" spans="2:8" x14ac:dyDescent="0.25">
      <c r="B751" s="198"/>
      <c r="C751" s="227"/>
      <c r="D751" s="327"/>
      <c r="E751" s="327"/>
      <c r="F751" s="206"/>
    </row>
    <row r="752" spans="2:8" ht="19.5" x14ac:dyDescent="0.3">
      <c r="B752" s="405" t="s">
        <v>234</v>
      </c>
      <c r="C752" s="406"/>
      <c r="D752" s="229"/>
      <c r="E752" s="229"/>
      <c r="F752" s="233"/>
    </row>
    <row r="753" spans="2:6" x14ac:dyDescent="0.25">
      <c r="B753" s="395" t="s">
        <v>376</v>
      </c>
      <c r="C753" s="396"/>
      <c r="D753" s="366">
        <f>D744</f>
        <v>7318000</v>
      </c>
      <c r="E753" s="367"/>
      <c r="F753" s="368"/>
    </row>
    <row r="754" spans="2:6" ht="32.25" customHeight="1" x14ac:dyDescent="0.25">
      <c r="B754" s="198"/>
      <c r="C754" s="227" t="s">
        <v>291</v>
      </c>
      <c r="D754" s="392" t="str">
        <f>NumToWordsNP(D744)</f>
        <v>Seventy Three Lakh And Eighteen Thousand Only.</v>
      </c>
      <c r="E754" s="393"/>
      <c r="F754" s="404"/>
    </row>
    <row r="755" spans="2:6" x14ac:dyDescent="0.25">
      <c r="B755" s="231"/>
      <c r="C755" s="232"/>
      <c r="D755" s="234"/>
      <c r="E755" s="234"/>
      <c r="F755" s="235"/>
    </row>
    <row r="756" spans="2:6" x14ac:dyDescent="0.25">
      <c r="B756" s="198"/>
      <c r="C756" s="227"/>
      <c r="D756" s="229"/>
      <c r="E756" s="229"/>
      <c r="F756" s="233"/>
    </row>
    <row r="757" spans="2:6" ht="16.5" customHeight="1" x14ac:dyDescent="0.25">
      <c r="B757" s="395" t="s">
        <v>377</v>
      </c>
      <c r="C757" s="397"/>
      <c r="D757" s="398">
        <f>C227</f>
        <v>12367500</v>
      </c>
      <c r="E757" s="399"/>
      <c r="F757" s="399"/>
    </row>
    <row r="758" spans="2:6" ht="16.5" customHeight="1" x14ac:dyDescent="0.25">
      <c r="B758" s="198"/>
      <c r="C758" s="227" t="s">
        <v>375</v>
      </c>
      <c r="D758" s="366">
        <f>ROUNDDOWN(D757,-3)</f>
        <v>12367000</v>
      </c>
      <c r="E758" s="367"/>
      <c r="F758" s="391"/>
    </row>
    <row r="759" spans="2:6" ht="32.25" customHeight="1" x14ac:dyDescent="0.25">
      <c r="B759" s="198"/>
      <c r="C759" s="227" t="s">
        <v>291</v>
      </c>
      <c r="D759" s="392" t="str">
        <f>NumToWordsNP(D758)</f>
        <v>One Crore Twenty Three Lakh And Sixty Seven Thousand Only.</v>
      </c>
      <c r="E759" s="393"/>
      <c r="F759" s="394"/>
    </row>
    <row r="760" spans="2:6" x14ac:dyDescent="0.25">
      <c r="B760" s="199"/>
      <c r="C760" s="200"/>
      <c r="D760" s="200"/>
      <c r="E760" s="200"/>
      <c r="F760" s="201"/>
    </row>
  </sheetData>
  <sheetProtection selectLockedCells="1"/>
  <mergeCells count="256">
    <mergeCell ref="C588:F588"/>
    <mergeCell ref="C590:F590"/>
    <mergeCell ref="I581:K581"/>
    <mergeCell ref="B583:C583"/>
    <mergeCell ref="D583:F583"/>
    <mergeCell ref="C585:F585"/>
    <mergeCell ref="C586:F586"/>
    <mergeCell ref="C567:F567"/>
    <mergeCell ref="C569:F569"/>
    <mergeCell ref="C571:F571"/>
    <mergeCell ref="I578:K578"/>
    <mergeCell ref="I579:K579"/>
    <mergeCell ref="I560:K560"/>
    <mergeCell ref="I562:K562"/>
    <mergeCell ref="B564:C564"/>
    <mergeCell ref="D564:F564"/>
    <mergeCell ref="C566:F566"/>
    <mergeCell ref="C547:F547"/>
    <mergeCell ref="C548:F548"/>
    <mergeCell ref="C550:F550"/>
    <mergeCell ref="C552:F552"/>
    <mergeCell ref="I559:K559"/>
    <mergeCell ref="C533:F533"/>
    <mergeCell ref="I540:K540"/>
    <mergeCell ref="I541:K541"/>
    <mergeCell ref="I543:K543"/>
    <mergeCell ref="B545:C545"/>
    <mergeCell ref="D545:F545"/>
    <mergeCell ref="B526:C526"/>
    <mergeCell ref="D526:F526"/>
    <mergeCell ref="C528:F528"/>
    <mergeCell ref="C529:F529"/>
    <mergeCell ref="C531:F531"/>
    <mergeCell ref="C512:F512"/>
    <mergeCell ref="C514:F514"/>
    <mergeCell ref="I521:K521"/>
    <mergeCell ref="I522:K522"/>
    <mergeCell ref="I524:K524"/>
    <mergeCell ref="I505:K505"/>
    <mergeCell ref="B507:C507"/>
    <mergeCell ref="D507:F507"/>
    <mergeCell ref="C509:F509"/>
    <mergeCell ref="C510:F510"/>
    <mergeCell ref="C491:F491"/>
    <mergeCell ref="C493:F493"/>
    <mergeCell ref="C495:F495"/>
    <mergeCell ref="I502:K502"/>
    <mergeCell ref="I503:K503"/>
    <mergeCell ref="I484:K484"/>
    <mergeCell ref="I486:K486"/>
    <mergeCell ref="B488:C488"/>
    <mergeCell ref="D488:F488"/>
    <mergeCell ref="C490:F490"/>
    <mergeCell ref="C471:F471"/>
    <mergeCell ref="C472:F472"/>
    <mergeCell ref="C474:F474"/>
    <mergeCell ref="C476:F476"/>
    <mergeCell ref="I483:K483"/>
    <mergeCell ref="C457:F457"/>
    <mergeCell ref="I464:K464"/>
    <mergeCell ref="I465:K465"/>
    <mergeCell ref="I467:K467"/>
    <mergeCell ref="B469:C469"/>
    <mergeCell ref="D469:F469"/>
    <mergeCell ref="B450:C450"/>
    <mergeCell ref="D450:F450"/>
    <mergeCell ref="C452:F452"/>
    <mergeCell ref="C453:F453"/>
    <mergeCell ref="C455:F455"/>
    <mergeCell ref="C436:F436"/>
    <mergeCell ref="C438:F438"/>
    <mergeCell ref="I445:K445"/>
    <mergeCell ref="I446:K446"/>
    <mergeCell ref="I448:K448"/>
    <mergeCell ref="I429:K429"/>
    <mergeCell ref="B431:C431"/>
    <mergeCell ref="D431:F431"/>
    <mergeCell ref="C433:F433"/>
    <mergeCell ref="C434:F434"/>
    <mergeCell ref="C415:F415"/>
    <mergeCell ref="C417:F417"/>
    <mergeCell ref="C419:F419"/>
    <mergeCell ref="I426:K426"/>
    <mergeCell ref="I427:K427"/>
    <mergeCell ref="I408:K408"/>
    <mergeCell ref="I410:K410"/>
    <mergeCell ref="B412:C412"/>
    <mergeCell ref="D412:F412"/>
    <mergeCell ref="C414:F414"/>
    <mergeCell ref="C395:F395"/>
    <mergeCell ref="C396:F396"/>
    <mergeCell ref="C398:F398"/>
    <mergeCell ref="C400:F400"/>
    <mergeCell ref="I407:K407"/>
    <mergeCell ref="C381:F381"/>
    <mergeCell ref="I388:K388"/>
    <mergeCell ref="I389:K389"/>
    <mergeCell ref="I391:K391"/>
    <mergeCell ref="B393:C393"/>
    <mergeCell ref="D393:F393"/>
    <mergeCell ref="B374:C374"/>
    <mergeCell ref="D374:F374"/>
    <mergeCell ref="C376:F376"/>
    <mergeCell ref="C377:F377"/>
    <mergeCell ref="C379:F379"/>
    <mergeCell ref="C360:F360"/>
    <mergeCell ref="C362:F362"/>
    <mergeCell ref="I369:K369"/>
    <mergeCell ref="I370:K370"/>
    <mergeCell ref="I372:K372"/>
    <mergeCell ref="I353:K353"/>
    <mergeCell ref="B355:C355"/>
    <mergeCell ref="D355:F355"/>
    <mergeCell ref="C357:F357"/>
    <mergeCell ref="C358:F358"/>
    <mergeCell ref="C339:F339"/>
    <mergeCell ref="C341:F341"/>
    <mergeCell ref="C343:F343"/>
    <mergeCell ref="I350:K350"/>
    <mergeCell ref="I351:K351"/>
    <mergeCell ref="I332:K332"/>
    <mergeCell ref="I334:K334"/>
    <mergeCell ref="B336:C336"/>
    <mergeCell ref="D336:F336"/>
    <mergeCell ref="C338:F338"/>
    <mergeCell ref="C319:F319"/>
    <mergeCell ref="C320:F320"/>
    <mergeCell ref="C322:F322"/>
    <mergeCell ref="C324:F324"/>
    <mergeCell ref="I331:K331"/>
    <mergeCell ref="C305:F305"/>
    <mergeCell ref="I312:K312"/>
    <mergeCell ref="I313:K313"/>
    <mergeCell ref="I315:K315"/>
    <mergeCell ref="B317:C317"/>
    <mergeCell ref="D317:F317"/>
    <mergeCell ref="B298:C298"/>
    <mergeCell ref="D298:F298"/>
    <mergeCell ref="C300:F300"/>
    <mergeCell ref="C301:F301"/>
    <mergeCell ref="C303:F303"/>
    <mergeCell ref="C284:F284"/>
    <mergeCell ref="C286:F286"/>
    <mergeCell ref="I293:K293"/>
    <mergeCell ref="I294:K294"/>
    <mergeCell ref="I296:K296"/>
    <mergeCell ref="I277:K277"/>
    <mergeCell ref="B279:C279"/>
    <mergeCell ref="D279:F279"/>
    <mergeCell ref="C281:F281"/>
    <mergeCell ref="C282:F282"/>
    <mergeCell ref="C263:F263"/>
    <mergeCell ref="C265:F265"/>
    <mergeCell ref="C267:F267"/>
    <mergeCell ref="I274:K274"/>
    <mergeCell ref="I275:K275"/>
    <mergeCell ref="G593:J595"/>
    <mergeCell ref="G635:J637"/>
    <mergeCell ref="B641:F641"/>
    <mergeCell ref="B650:C650"/>
    <mergeCell ref="D650:F650"/>
    <mergeCell ref="D651:F651"/>
    <mergeCell ref="C653:F653"/>
    <mergeCell ref="B660:F660"/>
    <mergeCell ref="G677:J679"/>
    <mergeCell ref="B639:C639"/>
    <mergeCell ref="D639:F639"/>
    <mergeCell ref="D749:F749"/>
    <mergeCell ref="D754:F754"/>
    <mergeCell ref="B681:C681"/>
    <mergeCell ref="D681:F681"/>
    <mergeCell ref="B683:F683"/>
    <mergeCell ref="B692:C692"/>
    <mergeCell ref="D692:F692"/>
    <mergeCell ref="D693:F693"/>
    <mergeCell ref="C695:F695"/>
    <mergeCell ref="B702:F702"/>
    <mergeCell ref="B752:C752"/>
    <mergeCell ref="B747:C747"/>
    <mergeCell ref="C262:F262"/>
    <mergeCell ref="C243:F243"/>
    <mergeCell ref="C244:F244"/>
    <mergeCell ref="C246:F246"/>
    <mergeCell ref="D758:F758"/>
    <mergeCell ref="D759:F759"/>
    <mergeCell ref="B740:F740"/>
    <mergeCell ref="B753:C753"/>
    <mergeCell ref="B757:C757"/>
    <mergeCell ref="D743:F743"/>
    <mergeCell ref="D748:F748"/>
    <mergeCell ref="D753:F753"/>
    <mergeCell ref="D757:F757"/>
    <mergeCell ref="D744:F744"/>
    <mergeCell ref="B743:C743"/>
    <mergeCell ref="B748:C748"/>
    <mergeCell ref="B597:C597"/>
    <mergeCell ref="D597:F597"/>
    <mergeCell ref="B599:F599"/>
    <mergeCell ref="B608:C608"/>
    <mergeCell ref="D608:F608"/>
    <mergeCell ref="D609:F609"/>
    <mergeCell ref="C611:F611"/>
    <mergeCell ref="B618:F618"/>
    <mergeCell ref="I236:K236"/>
    <mergeCell ref="I237:K237"/>
    <mergeCell ref="I239:K239"/>
    <mergeCell ref="B241:C241"/>
    <mergeCell ref="D241:F241"/>
    <mergeCell ref="I256:K256"/>
    <mergeCell ref="I258:K258"/>
    <mergeCell ref="B260:C260"/>
    <mergeCell ref="D260:F260"/>
    <mergeCell ref="C248:F248"/>
    <mergeCell ref="I255:K255"/>
    <mergeCell ref="I217:K217"/>
    <mergeCell ref="I218:K218"/>
    <mergeCell ref="I220:K220"/>
    <mergeCell ref="C229:F229"/>
    <mergeCell ref="C224:F224"/>
    <mergeCell ref="C225:F225"/>
    <mergeCell ref="C227:F227"/>
    <mergeCell ref="B222:C222"/>
    <mergeCell ref="D222:F222"/>
    <mergeCell ref="B2:F2"/>
    <mergeCell ref="C210:F210"/>
    <mergeCell ref="C37:F37"/>
    <mergeCell ref="B28:F28"/>
    <mergeCell ref="B211:F211"/>
    <mergeCell ref="C46:F46"/>
    <mergeCell ref="C55:F55"/>
    <mergeCell ref="C64:F64"/>
    <mergeCell ref="C73:F73"/>
    <mergeCell ref="C82:F82"/>
    <mergeCell ref="C91:F91"/>
    <mergeCell ref="C100:F100"/>
    <mergeCell ref="C109:F109"/>
    <mergeCell ref="C118:F118"/>
    <mergeCell ref="C127:F127"/>
    <mergeCell ref="C181:F181"/>
    <mergeCell ref="C190:F190"/>
    <mergeCell ref="C199:F199"/>
    <mergeCell ref="C208:F208"/>
    <mergeCell ref="C136:F136"/>
    <mergeCell ref="C145:F145"/>
    <mergeCell ref="C154:F154"/>
    <mergeCell ref="C163:F163"/>
    <mergeCell ref="C172:F172"/>
    <mergeCell ref="G719:J721"/>
    <mergeCell ref="B723:C723"/>
    <mergeCell ref="D723:F723"/>
    <mergeCell ref="B725:F725"/>
    <mergeCell ref="B734:C734"/>
    <mergeCell ref="D734:F734"/>
    <mergeCell ref="D735:F735"/>
    <mergeCell ref="C737:F737"/>
    <mergeCell ref="B742:C742"/>
  </mergeCells>
  <dataValidations xWindow="488" yWindow="632" count="6">
    <dataValidation allowBlank="1" showInputMessage="1" showErrorMessage="1" prompt="The unit must be entered with ‘Per’ as a prefix (Example: Per Sq.m., Per Ropani). This is mandatory for correct calculation." sqref="I217:K217 I236:K236 I255:K255 I274:K274 I293:K293 I312:K312 I331:K331 I350:K350 I369:K369 I388:K388 I407:K407 I426:K426 I445:K445 I464:K464 I483:K483 I502:K502 I521:K521 I540:K540 I559:K559 I578:K578"/>
    <dataValidation allowBlank="1" showInputMessage="1" showErrorMessage="1" prompt="Leave the Approved Area input cell blank if the total area as per the Completion Certificate is legal and eligible for valuation." sqref="C593 C635 C677 C719"/>
    <dataValidation allowBlank="1" showInputMessage="1" showErrorMessage="1" prompt="The cell should be left blank if the entry is not eligible." sqref="F593 F635 C619:C633 F619:F633 F677 C661:C675 F661:F675 F719 C703:C717 F703:F717"/>
    <dataValidation allowBlank="1" showInputMessage="1" showErrorMessage="1" prompt="Do not edit. This cell is formula-driven." sqref="C218 D222:F222 C224:F225 C227:F227 C208:F208 D753:F754 D757:F759 C37:F39 C109:F111 C46:F48 C55:F57 C64:F66 C73:F75 C82:F84 C91:F93 C100:F102 C118:F120 C127:F129 C136:F138 C145:F147 C154:F156 C163:F165 C172:F174 C181:F183 C190:F192 C199:F201 C229:F230 C246:F246 C237 D241:F241 C243:F244 C248:F249 C265:F265 C256 D260:F260 C262:F263 C267:F268 C284:F284 C275 D279:F279 C281:F282 C286:F287 C303:F303 C294 D298:F298 C300:F301 C305:F306 C322:F322 C313 D317:F317 C319:F320 C324:F325 C341:F341 C332 D336:F336 C338:F339 C343:F344 C360:F360 C351 D355:F355 C357:F358 C362:F363 C379:F379 C370 D374:F374 C376:F377 C381:F382 C398:F398 C389 D393:F393 C395:F396 C400:F401 C417:F417 C408 D412:F412 C414:F415 C419:F420 C436:F436 C427 D431:F431 C433:F434 C438:F439 C455:F455 C446 D450:F450 C452:F453 C457:F458 C474:F474 C465 D469:F469 C471:F472 C476:F477 C493:F493 C484 D488:F488 C490:F491 C495:F496 C512:F512 C503 D507:F507 C509:F510 C514:F515 C531:F531 C522 D526:F526 C528:F529 C533:F534 C550:F550 C541 D545:F545 C547:F548 C552:F553 C569:F569 C560 D564:F564 C566:F567 C571:F572 C588:F588 C579 D583:F583 C585:F586 C590:F591 D608:F609 D597:F597 C606 D650:F651 D639:F639 C648 D692:F693 D681:F681 C690 D734:F735 D723:F723 C732 D743:F744 D748:F749"/>
    <dataValidation type="list" allowBlank="1" showInputMessage="1" showErrorMessage="1" sqref="C6">
      <formula1>"1,2,3,4,5"</formula1>
    </dataValidation>
    <dataValidation type="list" allowBlank="1" showInputMessage="1" showErrorMessage="1" sqref="C29">
      <formula1>"1,2,3,4,5,6,7,8,9,10,11,12,13,14,15,16,17,18,19,20"</formula1>
    </dataValidation>
  </dataValidations>
  <pageMargins left="0.7" right="0.7" top="0.75" bottom="0.75" header="0.3" footer="0.3"/>
  <pageSetup orientation="portrait" horizontalDpi="4294967293"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B1:G180"/>
  <sheetViews>
    <sheetView showGridLines="0" topLeftCell="B1" zoomScale="115" zoomScaleNormal="115" workbookViewId="0">
      <selection activeCell="F5" sqref="F5"/>
    </sheetView>
  </sheetViews>
  <sheetFormatPr defaultRowHeight="15" x14ac:dyDescent="0.25"/>
  <cols>
    <col min="1" max="1" width="4.5703125" customWidth="1"/>
    <col min="2" max="2" width="38.7109375" customWidth="1"/>
    <col min="3" max="3" width="48" customWidth="1"/>
    <col min="4" max="4" width="12.7109375" customWidth="1"/>
    <col min="5" max="5" width="20.85546875" customWidth="1"/>
    <col min="6" max="6" width="57.7109375" customWidth="1"/>
    <col min="7" max="7" width="12.28515625" customWidth="1"/>
    <col min="8" max="8" width="13.140625" customWidth="1"/>
  </cols>
  <sheetData>
    <row r="1" spans="2:7" ht="15.75" thickBot="1" x14ac:dyDescent="0.3"/>
    <row r="2" spans="2:7" ht="22.5" customHeight="1" thickBot="1" x14ac:dyDescent="0.3">
      <c r="B2" s="374" t="s">
        <v>466</v>
      </c>
      <c r="C2" s="375"/>
      <c r="D2" s="375"/>
      <c r="E2" s="375"/>
      <c r="F2" s="376"/>
    </row>
    <row r="3" spans="2:7" ht="6.6" customHeight="1" x14ac:dyDescent="0.25">
      <c r="B3" s="193"/>
      <c r="F3" s="194"/>
    </row>
    <row r="4" spans="2:7" x14ac:dyDescent="0.25">
      <c r="B4" s="205" t="s">
        <v>459</v>
      </c>
      <c r="C4" s="88" t="str">
        <f ca="1">IF(MONTH(TODAY())&gt;=7,
YEAR(TODAY())+57&amp;"/"&amp;RIGHT(YEAR(TODAY())+58,2),
YEAR(TODAY())+56&amp;"/"&amp;RIGHT(YEAR(TODAY())+57,2))</f>
        <v>2082/83</v>
      </c>
      <c r="E4" s="162" t="s">
        <v>465</v>
      </c>
      <c r="F4" s="311">
        <v>46147</v>
      </c>
    </row>
    <row r="5" spans="2:7" x14ac:dyDescent="0.25">
      <c r="B5" s="205"/>
      <c r="C5" s="2"/>
      <c r="E5" s="162" t="s">
        <v>464</v>
      </c>
      <c r="F5" s="312" t="str" cm="1">
        <f t="array" ref="F5">AD2BS(F4)</f>
        <v>Baisakh 22, 2083</v>
      </c>
    </row>
    <row r="6" spans="2:7" ht="6.6" customHeight="1" x14ac:dyDescent="0.25">
      <c r="B6" s="193"/>
      <c r="F6" s="194"/>
    </row>
    <row r="7" spans="2:7" x14ac:dyDescent="0.25">
      <c r="B7" s="205" t="s">
        <v>341</v>
      </c>
      <c r="C7" s="88" t="s">
        <v>253</v>
      </c>
      <c r="E7" s="162" t="s">
        <v>382</v>
      </c>
      <c r="F7" s="299">
        <v>9851316736</v>
      </c>
    </row>
    <row r="8" spans="2:7" ht="7.5" customHeight="1" x14ac:dyDescent="0.25">
      <c r="B8" s="193"/>
      <c r="F8" s="194"/>
    </row>
    <row r="9" spans="2:7" x14ac:dyDescent="0.25">
      <c r="B9" s="205" t="s">
        <v>304</v>
      </c>
      <c r="C9" s="88" t="s">
        <v>342</v>
      </c>
      <c r="E9" s="162" t="s">
        <v>305</v>
      </c>
      <c r="F9" s="203" t="s">
        <v>510</v>
      </c>
    </row>
    <row r="10" spans="2:7" ht="21" customHeight="1" thickBot="1" x14ac:dyDescent="0.3">
      <c r="B10" s="193"/>
      <c r="F10" s="194"/>
    </row>
    <row r="11" spans="2:7" ht="19.5" thickBot="1" x14ac:dyDescent="0.3">
      <c r="B11" s="319" t="s">
        <v>475</v>
      </c>
      <c r="C11" s="316">
        <v>2</v>
      </c>
      <c r="F11" s="194"/>
    </row>
    <row r="12" spans="2:7" ht="21" customHeight="1" thickBot="1" x14ac:dyDescent="0.3">
      <c r="B12" s="193"/>
      <c r="F12" s="194"/>
    </row>
    <row r="13" spans="2:7" ht="16.5" thickBot="1" x14ac:dyDescent="0.3">
      <c r="B13" s="193"/>
      <c r="C13" s="316" t="s">
        <v>488</v>
      </c>
      <c r="F13" s="316" t="s">
        <v>488</v>
      </c>
    </row>
    <row r="14" spans="2:7" x14ac:dyDescent="0.25">
      <c r="B14" s="195" t="str">
        <f>'DE (Tentative)'!B8</f>
        <v>Client</v>
      </c>
      <c r="C14" s="315" t="str">
        <f>'DE (Tentative)'!C8</f>
        <v>Mr. Ram Bahadur Khatri</v>
      </c>
      <c r="D14" s="314"/>
      <c r="E14" s="5" t="str">
        <f>'DE (Tentative)'!E8</f>
        <v>Owner 1</v>
      </c>
      <c r="F14" s="257" t="str">
        <f>'DE (Tentative)'!F8</f>
        <v>Mr. Ram Bahadur Khatri</v>
      </c>
      <c r="G14" s="313"/>
    </row>
    <row r="15" spans="2:7" x14ac:dyDescent="0.25">
      <c r="B15" s="195" t="s">
        <v>14</v>
      </c>
      <c r="C15" s="258" t="str">
        <f>C17&amp;"-"&amp;C16&amp;", "&amp;C18&amp;" "&amp;B18</f>
        <v>Jiri Municipality-2, Dolakha District</v>
      </c>
      <c r="D15" s="300"/>
      <c r="E15" s="5" t="s">
        <v>14</v>
      </c>
      <c r="F15" s="257" t="str">
        <f>F17&amp;"-"&amp;F16&amp;", "&amp;F18&amp;" "&amp;E18</f>
        <v>Jiri Municipality-2, Dolakha District</v>
      </c>
      <c r="G15" s="193"/>
    </row>
    <row r="16" spans="2:7" x14ac:dyDescent="0.25">
      <c r="B16" s="195" t="s">
        <v>16</v>
      </c>
      <c r="C16" s="346">
        <v>2</v>
      </c>
      <c r="D16" s="5"/>
      <c r="E16" s="5" t="s">
        <v>16</v>
      </c>
      <c r="F16" s="346">
        <v>2</v>
      </c>
    </row>
    <row r="17" spans="2:7" x14ac:dyDescent="0.25">
      <c r="B17" s="195" t="s">
        <v>460</v>
      </c>
      <c r="C17" s="204" t="s">
        <v>517</v>
      </c>
      <c r="D17" s="300"/>
      <c r="E17" s="5" t="s">
        <v>460</v>
      </c>
      <c r="F17" s="204" t="s">
        <v>517</v>
      </c>
    </row>
    <row r="18" spans="2:7" x14ac:dyDescent="0.25">
      <c r="B18" s="195" t="s">
        <v>18</v>
      </c>
      <c r="C18" s="204" t="s">
        <v>511</v>
      </c>
      <c r="D18" s="5"/>
      <c r="E18" s="5" t="s">
        <v>18</v>
      </c>
      <c r="F18" s="204" t="s">
        <v>511</v>
      </c>
    </row>
    <row r="19" spans="2:7" x14ac:dyDescent="0.25">
      <c r="B19" s="195" t="str">
        <f>IF(OR(C13="Company (Proprietorship)",C13="Company (Pvt. Ltd.)"),
"Registration No.",
"Citizenship No.")</f>
        <v>Citizenship No.</v>
      </c>
      <c r="C19" s="204" t="s">
        <v>512</v>
      </c>
      <c r="D19" s="5"/>
      <c r="E19" s="5" t="str">
        <f>IF(OR(F13="Company (Proprietorship)",F13="Company (Pvt. Ltd.)"),
"Registration No.",
"Citizenship No.")</f>
        <v>Citizenship No.</v>
      </c>
      <c r="F19" s="204" t="s">
        <v>512</v>
      </c>
    </row>
    <row r="20" spans="2:7" x14ac:dyDescent="0.25">
      <c r="B20" s="195" t="str">
        <f>IF(OR(C13="Company (Proprietorship)",C13="Company (Pvt. Ltd.)"),
"Registration Date",
"Issued Date")</f>
        <v>Issued Date</v>
      </c>
      <c r="C20" s="317" t="s">
        <v>513</v>
      </c>
      <c r="D20" s="5"/>
      <c r="E20" s="5" t="str">
        <f>IF(OR(F13="Company (Proprietorship)",F13="Company (Pvt. Ltd.)"),
"Registration Date",
"Issued Date")</f>
        <v>Issued Date</v>
      </c>
      <c r="F20" s="317" t="s">
        <v>513</v>
      </c>
    </row>
    <row r="21" spans="2:7" x14ac:dyDescent="0.25">
      <c r="B21" s="195" t="s">
        <v>15</v>
      </c>
      <c r="C21" s="204" t="s">
        <v>514</v>
      </c>
      <c r="D21" s="5"/>
      <c r="E21" s="5" t="s">
        <v>15</v>
      </c>
      <c r="F21" s="204" t="s">
        <v>514</v>
      </c>
    </row>
    <row r="22" spans="2:7" x14ac:dyDescent="0.25">
      <c r="B22" s="195" t="str">
        <f>CHOOSE(MATCH(C13,
{"Company (Proprietorship)","Company (Pvt. Ltd.)","Individual (Male)","Individual (Female)"},
0),
"Proprietor's Name",
"Shareholder's Name",
"Father's Name",
"Husband's Name")</f>
        <v>Father's Name</v>
      </c>
      <c r="C22" s="204" t="s">
        <v>515</v>
      </c>
      <c r="D22" s="5"/>
      <c r="E22" s="5" t="str">
        <f>CHOOSE(MATCH(F13,
{"Company (Proprietorship)","Company (Pvt. Ltd.)","Individual (Male)","Individual (Female)"},
0),
"Proprietor's Name",
"Shareholder's Name",
"Father's Name",
"Husband's Name")</f>
        <v>Father's Name</v>
      </c>
      <c r="F22" s="204" t="s">
        <v>515</v>
      </c>
    </row>
    <row r="23" spans="2:7" x14ac:dyDescent="0.25">
      <c r="B23" s="195" t="str">
        <f>CHOOSE(MATCH(C13,
{"Company (Proprietorship)","Company (Pvt. Ltd.)","Individual (Male)","Individual (Female)"},
0),
"PAN No.",
"PAN No.",
"Grand Father's Name",
"Father in Law's Name")</f>
        <v>Grand Father's Name</v>
      </c>
      <c r="C23" s="317" t="s">
        <v>516</v>
      </c>
      <c r="D23" s="5"/>
      <c r="E23" s="5" t="str">
        <f>CHOOSE(MATCH(F13,
{"Company (Proprietorship)","Company (Pvt. Ltd.)","Individual (Male)","Individual (Female)"},
0),
"PAN No.",
"PAN No.",
"Grand Father's Name",
"Father in Law's Name")</f>
        <v>Grand Father's Name</v>
      </c>
      <c r="F23" s="317" t="s">
        <v>516</v>
      </c>
    </row>
    <row r="24" spans="2:7" x14ac:dyDescent="0.25">
      <c r="B24" s="195" t="s">
        <v>19</v>
      </c>
      <c r="C24" s="258">
        <f>'DE (Tentative)'!C10</f>
        <v>9765014537</v>
      </c>
      <c r="E24" s="5" t="s">
        <v>19</v>
      </c>
      <c r="F24" s="257">
        <f>'DE (Tentative)'!F10</f>
        <v>9765014537</v>
      </c>
    </row>
    <row r="25" spans="2:7" ht="15.75" thickBot="1" x14ac:dyDescent="0.3">
      <c r="B25" s="193"/>
      <c r="F25" s="194"/>
    </row>
    <row r="26" spans="2:7" ht="16.5" thickBot="1" x14ac:dyDescent="0.3">
      <c r="B26" s="193"/>
      <c r="C26" s="316"/>
      <c r="F26" s="316" t="s">
        <v>519</v>
      </c>
    </row>
    <row r="27" spans="2:7" x14ac:dyDescent="0.25">
      <c r="B27" s="195"/>
      <c r="C27" s="315"/>
      <c r="D27" s="314"/>
      <c r="E27" s="5" t="str">
        <f>'DE (Tentative)'!E12</f>
        <v>Owner 2</v>
      </c>
      <c r="F27" s="257" t="str">
        <f>'DE (Tentative)'!F12</f>
        <v>Mrs. Saru Khatri</v>
      </c>
      <c r="G27" s="313"/>
    </row>
    <row r="28" spans="2:7" x14ac:dyDescent="0.25">
      <c r="B28" s="195"/>
      <c r="C28" s="258"/>
      <c r="D28" s="300"/>
      <c r="E28" s="5" t="s">
        <v>14</v>
      </c>
      <c r="F28" s="257" t="str">
        <f>F30&amp;"-"&amp;F29&amp;", "&amp;F31&amp;" "&amp;E31</f>
        <v>Jiri Municipality-2, Dolakha District</v>
      </c>
      <c r="G28" s="193"/>
    </row>
    <row r="29" spans="2:7" x14ac:dyDescent="0.25">
      <c r="B29" s="195"/>
      <c r="C29" s="301"/>
      <c r="D29" s="5"/>
      <c r="E29" s="5" t="s">
        <v>16</v>
      </c>
      <c r="F29" s="346">
        <v>2</v>
      </c>
    </row>
    <row r="30" spans="2:7" x14ac:dyDescent="0.25">
      <c r="B30" s="195"/>
      <c r="C30" s="204"/>
      <c r="D30" s="300"/>
      <c r="E30" s="5" t="s">
        <v>460</v>
      </c>
      <c r="F30" s="204" t="s">
        <v>517</v>
      </c>
    </row>
    <row r="31" spans="2:7" x14ac:dyDescent="0.25">
      <c r="B31" s="195"/>
      <c r="C31" s="204"/>
      <c r="D31" s="5"/>
      <c r="E31" s="5" t="s">
        <v>18</v>
      </c>
      <c r="F31" s="204" t="s">
        <v>511</v>
      </c>
    </row>
    <row r="32" spans="2:7" x14ac:dyDescent="0.25">
      <c r="B32" s="195"/>
      <c r="C32" s="204"/>
      <c r="D32" s="5"/>
      <c r="E32" s="5" t="str">
        <f>IF(OR(F26="Company (Proprietorship)",F26="Company (Pvt. Ltd.)"),
"Registration No.",
"Citizenship No.")</f>
        <v>Citizenship No.</v>
      </c>
      <c r="F32" s="299" t="s">
        <v>518</v>
      </c>
    </row>
    <row r="33" spans="2:7" x14ac:dyDescent="0.25">
      <c r="B33" s="195"/>
      <c r="C33" s="317"/>
      <c r="D33" s="5"/>
      <c r="E33" s="5" t="str">
        <f>IF(OR(F26="Company (Proprietorship)",F26="Company (Pvt. Ltd.)"),
"Registration Date",
"Issued Date")</f>
        <v>Issued Date</v>
      </c>
      <c r="F33" s="318" t="s">
        <v>520</v>
      </c>
    </row>
    <row r="34" spans="2:7" x14ac:dyDescent="0.25">
      <c r="B34" s="195"/>
      <c r="C34" s="204"/>
      <c r="D34" s="5"/>
      <c r="E34" s="5" t="s">
        <v>15</v>
      </c>
      <c r="F34" s="299" t="s">
        <v>514</v>
      </c>
    </row>
    <row r="35" spans="2:7" x14ac:dyDescent="0.25">
      <c r="B35" s="195"/>
      <c r="C35" s="204"/>
      <c r="D35" s="5"/>
      <c r="E35" s="5" t="str">
        <f>CHOOSE(MATCH(F26,
{"Company (Proprietorship)","Company (Pvt. Ltd.)","Individual (Male)","Individual (Female)"},
0),
"Proprietor's Name",
"Shareholder's Name",
"Father's Name",
"Husband's Name")</f>
        <v>Husband's Name</v>
      </c>
      <c r="F35" s="299" t="s">
        <v>507</v>
      </c>
    </row>
    <row r="36" spans="2:7" x14ac:dyDescent="0.25">
      <c r="B36" s="195"/>
      <c r="C36" s="317"/>
      <c r="D36" s="5"/>
      <c r="E36" s="5" t="str">
        <f>CHOOSE(MATCH(F26,
{"Company (Proprietorship)","Company (Pvt. Ltd.)","Individual (Male)","Individual (Female)"},
0),
"PAN No.",
"PAN No.",
"Grand Father's Name",
"Father in Law's Name")</f>
        <v>Father in Law's Name</v>
      </c>
      <c r="F36" s="318" t="s">
        <v>515</v>
      </c>
    </row>
    <row r="37" spans="2:7" x14ac:dyDescent="0.25">
      <c r="B37" s="195"/>
      <c r="C37" s="258"/>
      <c r="E37" s="5" t="s">
        <v>19</v>
      </c>
      <c r="F37" s="257">
        <f>'DE (Tentative)'!F14</f>
        <v>9851002598</v>
      </c>
    </row>
    <row r="38" spans="2:7" x14ac:dyDescent="0.25">
      <c r="B38" s="193"/>
      <c r="F38" s="194"/>
    </row>
    <row r="39" spans="2:7" ht="16.5" hidden="1" thickBot="1" x14ac:dyDescent="0.3">
      <c r="B39" s="193"/>
      <c r="C39" s="316" t="s">
        <v>488</v>
      </c>
      <c r="F39" s="316" t="s">
        <v>488</v>
      </c>
    </row>
    <row r="40" spans="2:7" hidden="1" x14ac:dyDescent="0.25">
      <c r="B40" s="195" t="str">
        <f>'DE (Tentative)'!B16</f>
        <v>Client 3</v>
      </c>
      <c r="C40" s="315">
        <f>'DE (Tentative)'!C16</f>
        <v>0</v>
      </c>
      <c r="D40" s="314"/>
      <c r="E40" s="5" t="str">
        <f>'DE (Tentative)'!E16</f>
        <v>Owner 3</v>
      </c>
      <c r="F40" s="257">
        <f>'DE (Tentative)'!F16</f>
        <v>0</v>
      </c>
      <c r="G40" s="313"/>
    </row>
    <row r="41" spans="2:7" hidden="1" x14ac:dyDescent="0.25">
      <c r="B41" s="195" t="s">
        <v>14</v>
      </c>
      <c r="C41" s="258" t="str">
        <f>C43&amp;"-"&amp;C42&amp;", "&amp;C44&amp;" "&amp;B44</f>
        <v>-,  District</v>
      </c>
      <c r="D41" s="300"/>
      <c r="E41" s="5" t="s">
        <v>14</v>
      </c>
      <c r="F41" s="257" t="str">
        <f>F43&amp;"-"&amp;F42&amp;", "&amp;F44&amp;" "&amp;E44</f>
        <v>-,  District</v>
      </c>
      <c r="G41" s="193"/>
    </row>
    <row r="42" spans="2:7" hidden="1" x14ac:dyDescent="0.25">
      <c r="B42" s="195" t="s">
        <v>16</v>
      </c>
      <c r="C42" s="301"/>
      <c r="D42" s="5"/>
      <c r="E42" s="5" t="s">
        <v>16</v>
      </c>
      <c r="F42" s="302"/>
    </row>
    <row r="43" spans="2:7" hidden="1" x14ac:dyDescent="0.25">
      <c r="B43" s="195" t="s">
        <v>460</v>
      </c>
      <c r="C43" s="204"/>
      <c r="D43" s="300"/>
      <c r="E43" s="5" t="s">
        <v>460</v>
      </c>
      <c r="F43" s="299"/>
    </row>
    <row r="44" spans="2:7" hidden="1" x14ac:dyDescent="0.25">
      <c r="B44" s="195" t="s">
        <v>18</v>
      </c>
      <c r="C44" s="204"/>
      <c r="D44" s="5"/>
      <c r="E44" s="5" t="s">
        <v>18</v>
      </c>
      <c r="F44" s="299"/>
    </row>
    <row r="45" spans="2:7" hidden="1" x14ac:dyDescent="0.25">
      <c r="B45" s="195" t="str">
        <f>IF(OR(C39="Company (Proprietorship)",C39="Company (Pvt. Ltd.)"),
"Registration No.",
"Citizenship No.")</f>
        <v>Citizenship No.</v>
      </c>
      <c r="C45" s="204"/>
      <c r="D45" s="5"/>
      <c r="E45" s="5" t="str">
        <f>IF(OR(F39="Company (Proprietorship)",F39="Company (Pvt. Ltd.)"),
"Registration No.",
"Citizenship No.")</f>
        <v>Citizenship No.</v>
      </c>
      <c r="F45" s="299"/>
    </row>
    <row r="46" spans="2:7" hidden="1" x14ac:dyDescent="0.25">
      <c r="B46" s="195" t="str">
        <f>IF(OR(C39="Company (Proprietorship)",C39="Company (Pvt. Ltd.)"),
"Registration Date",
"Issued Date")</f>
        <v>Issued Date</v>
      </c>
      <c r="C46" s="317"/>
      <c r="D46" s="5"/>
      <c r="E46" s="5" t="str">
        <f>IF(OR(F39="Company (Proprietorship)",F39="Company (Pvt. Ltd.)"),
"Registration Date",
"Issued Date")</f>
        <v>Issued Date</v>
      </c>
      <c r="F46" s="318"/>
    </row>
    <row r="47" spans="2:7" hidden="1" x14ac:dyDescent="0.25">
      <c r="B47" s="195" t="s">
        <v>15</v>
      </c>
      <c r="C47" s="204"/>
      <c r="D47" s="5"/>
      <c r="E47" s="5" t="s">
        <v>15</v>
      </c>
      <c r="F47" s="299"/>
    </row>
    <row r="48" spans="2:7" hidden="1" x14ac:dyDescent="0.25">
      <c r="B48" s="195" t="str">
        <f>CHOOSE(MATCH(C39,
{"Company (Proprietorship)","Company (Pvt. Ltd.)","Individual (Male)","Individual (Female)"},
0),
"Proprietor's Name",
"Shareholder's Name",
"Father's Name",
"Husband's Name")</f>
        <v>Father's Name</v>
      </c>
      <c r="C48" s="204"/>
      <c r="D48" s="5"/>
      <c r="E48" s="5" t="str">
        <f>CHOOSE(MATCH(F39,
{"Company (Proprietorship)","Company (Pvt. Ltd.)","Individual (Male)","Individual (Female)"},
0),
"Proprietor's Name",
"Shareholder's Name",
"Father's Name",
"Husband's Name")</f>
        <v>Father's Name</v>
      </c>
      <c r="F48" s="299"/>
    </row>
    <row r="49" spans="2:7" hidden="1" x14ac:dyDescent="0.25">
      <c r="B49" s="195" t="str">
        <f>CHOOSE(MATCH(C39,
{"Company (Proprietorship)","Company (Pvt. Ltd.)","Individual (Male)","Individual (Female)"},
0),
"PAN No.",
"PAN No.",
"Grand Father's Name",
"Father in Law's Name")</f>
        <v>Grand Father's Name</v>
      </c>
      <c r="C49" s="317"/>
      <c r="D49" s="5"/>
      <c r="E49" s="5" t="str">
        <f>CHOOSE(MATCH(F39,
{"Company (Proprietorship)","Company (Pvt. Ltd.)","Individual (Male)","Individual (Female)"},
0),
"PAN No.",
"PAN No.",
"Grand Father's Name",
"Father in Law's Name")</f>
        <v>Grand Father's Name</v>
      </c>
      <c r="F49" s="318"/>
    </row>
    <row r="50" spans="2:7" hidden="1" x14ac:dyDescent="0.25">
      <c r="B50" s="195" t="s">
        <v>19</v>
      </c>
      <c r="C50" s="258">
        <f>'DE (Tentative)'!C18</f>
        <v>0</v>
      </c>
      <c r="E50" s="5" t="s">
        <v>19</v>
      </c>
      <c r="F50" s="257">
        <f>'DE (Tentative)'!F18</f>
        <v>0</v>
      </c>
    </row>
    <row r="51" spans="2:7" x14ac:dyDescent="0.25">
      <c r="B51" s="193"/>
      <c r="F51" s="194"/>
    </row>
    <row r="52" spans="2:7" ht="16.5" hidden="1" thickBot="1" x14ac:dyDescent="0.3">
      <c r="B52" s="193"/>
      <c r="C52" s="316" t="s">
        <v>488</v>
      </c>
      <c r="F52" s="316" t="s">
        <v>488</v>
      </c>
    </row>
    <row r="53" spans="2:7" hidden="1" x14ac:dyDescent="0.25">
      <c r="B53" s="195" t="str">
        <f>'DE (Tentative)'!B20</f>
        <v>Client 4</v>
      </c>
      <c r="C53" s="315">
        <f>'DE (Tentative)'!C20</f>
        <v>0</v>
      </c>
      <c r="D53" s="314"/>
      <c r="E53" s="5" t="str">
        <f>'DE (Tentative)'!E20</f>
        <v>Owner 4</v>
      </c>
      <c r="F53" s="257">
        <f>'DE (Tentative)'!F20</f>
        <v>0</v>
      </c>
      <c r="G53" s="313"/>
    </row>
    <row r="54" spans="2:7" hidden="1" x14ac:dyDescent="0.25">
      <c r="B54" s="195" t="s">
        <v>14</v>
      </c>
      <c r="C54" s="258" t="str">
        <f>C56&amp;"-"&amp;C55&amp;", "&amp;C57&amp;" "&amp;B57</f>
        <v>-,  District</v>
      </c>
      <c r="D54" s="300"/>
      <c r="E54" s="5" t="s">
        <v>14</v>
      </c>
      <c r="F54" s="257" t="str">
        <f>F56&amp;"-"&amp;F55&amp;", "&amp;F57&amp;" "&amp;E57</f>
        <v>-,  District</v>
      </c>
      <c r="G54" s="193"/>
    </row>
    <row r="55" spans="2:7" hidden="1" x14ac:dyDescent="0.25">
      <c r="B55" s="195" t="s">
        <v>16</v>
      </c>
      <c r="C55" s="301"/>
      <c r="D55" s="5"/>
      <c r="E55" s="5" t="s">
        <v>16</v>
      </c>
      <c r="F55" s="302"/>
    </row>
    <row r="56" spans="2:7" hidden="1" x14ac:dyDescent="0.25">
      <c r="B56" s="195" t="s">
        <v>460</v>
      </c>
      <c r="C56" s="204"/>
      <c r="D56" s="300"/>
      <c r="E56" s="5" t="s">
        <v>460</v>
      </c>
      <c r="F56" s="299"/>
    </row>
    <row r="57" spans="2:7" hidden="1" x14ac:dyDescent="0.25">
      <c r="B57" s="195" t="s">
        <v>18</v>
      </c>
      <c r="C57" s="204"/>
      <c r="D57" s="5"/>
      <c r="E57" s="5" t="s">
        <v>18</v>
      </c>
      <c r="F57" s="299"/>
    </row>
    <row r="58" spans="2:7" hidden="1" x14ac:dyDescent="0.25">
      <c r="B58" s="195" t="str">
        <f>IF(OR(C52="Company (Proprietorship)",C52="Company (Pvt. Ltd.)"),
"Registration No.",
"Citizenship No.")</f>
        <v>Citizenship No.</v>
      </c>
      <c r="C58" s="204"/>
      <c r="D58" s="5"/>
      <c r="E58" s="5" t="str">
        <f>IF(OR(F52="Company (Proprietorship)",F52="Company (Pvt. Ltd.)"),
"Registration No.",
"Citizenship No.")</f>
        <v>Citizenship No.</v>
      </c>
      <c r="F58" s="299"/>
    </row>
    <row r="59" spans="2:7" hidden="1" x14ac:dyDescent="0.25">
      <c r="B59" s="195" t="str">
        <f>IF(OR(C52="Company (Proprietorship)",C52="Company (Pvt. Ltd.)"),
"Registration Date",
"Issued Date")</f>
        <v>Issued Date</v>
      </c>
      <c r="C59" s="317"/>
      <c r="D59" s="5"/>
      <c r="E59" s="5" t="str">
        <f>IF(OR(F52="Company (Proprietorship)",F52="Company (Pvt. Ltd.)"),
"Registration Date",
"Issued Date")</f>
        <v>Issued Date</v>
      </c>
      <c r="F59" s="318"/>
    </row>
    <row r="60" spans="2:7" hidden="1" x14ac:dyDescent="0.25">
      <c r="B60" s="195" t="s">
        <v>15</v>
      </c>
      <c r="C60" s="204"/>
      <c r="D60" s="5"/>
      <c r="E60" s="5" t="s">
        <v>15</v>
      </c>
      <c r="F60" s="299"/>
    </row>
    <row r="61" spans="2:7" hidden="1" x14ac:dyDescent="0.25">
      <c r="B61" s="195" t="str">
        <f>CHOOSE(MATCH(C52,
{"Company (Proprietorship)","Company (Pvt. Ltd.)","Individual (Male)","Individual (Female)"},
0),
"Proprietor's Name",
"Shareholder's Name",
"Father's Name",
"Husband's Name")</f>
        <v>Father's Name</v>
      </c>
      <c r="C61" s="204"/>
      <c r="D61" s="5"/>
      <c r="E61" s="5" t="str">
        <f>CHOOSE(MATCH(F52,
{"Company (Proprietorship)","Company (Pvt. Ltd.)","Individual (Male)","Individual (Female)"},
0),
"Proprietor's Name",
"Shareholder's Name",
"Father's Name",
"Husband's Name")</f>
        <v>Father's Name</v>
      </c>
      <c r="F61" s="299"/>
    </row>
    <row r="62" spans="2:7" hidden="1" x14ac:dyDescent="0.25">
      <c r="B62" s="195" t="str">
        <f>CHOOSE(MATCH(C52,
{"Company (Proprietorship)","Company (Pvt. Ltd.)","Individual (Male)","Individual (Female)"},
0),
"PAN No.",
"PAN No.",
"Grand Father's Name",
"Father in Law's Name")</f>
        <v>Grand Father's Name</v>
      </c>
      <c r="C62" s="317"/>
      <c r="D62" s="5"/>
      <c r="E62" s="5" t="str">
        <f>CHOOSE(MATCH(F52,
{"Company (Proprietorship)","Company (Pvt. Ltd.)","Individual (Male)","Individual (Female)"},
0),
"PAN No.",
"PAN No.",
"Grand Father's Name",
"Father in Law's Name")</f>
        <v>Grand Father's Name</v>
      </c>
      <c r="F62" s="318"/>
    </row>
    <row r="63" spans="2:7" hidden="1" x14ac:dyDescent="0.25">
      <c r="B63" s="195" t="s">
        <v>19</v>
      </c>
      <c r="C63" s="258">
        <f>'DE (Tentative)'!C22</f>
        <v>0</v>
      </c>
      <c r="E63" s="5" t="s">
        <v>19</v>
      </c>
      <c r="F63" s="257">
        <f>'DE (Tentative)'!F22</f>
        <v>0</v>
      </c>
    </row>
    <row r="64" spans="2:7" x14ac:dyDescent="0.25">
      <c r="B64" s="193"/>
      <c r="F64" s="194"/>
    </row>
    <row r="65" spans="2:7" ht="16.5" hidden="1" thickBot="1" x14ac:dyDescent="0.3">
      <c r="B65" s="193"/>
      <c r="C65" s="316" t="s">
        <v>488</v>
      </c>
      <c r="F65" s="316" t="s">
        <v>488</v>
      </c>
    </row>
    <row r="66" spans="2:7" hidden="1" x14ac:dyDescent="0.25">
      <c r="B66" s="195" t="str">
        <f>'DE (Tentative)'!B24</f>
        <v>Client 5</v>
      </c>
      <c r="C66" s="315">
        <f>'DE (Tentative)'!C24</f>
        <v>0</v>
      </c>
      <c r="D66" s="314"/>
      <c r="E66" s="5" t="str">
        <f>'DE (Tentative)'!E24</f>
        <v>Owner 5</v>
      </c>
      <c r="F66" s="257">
        <f>'DE (Tentative)'!F24</f>
        <v>0</v>
      </c>
      <c r="G66" s="313"/>
    </row>
    <row r="67" spans="2:7" hidden="1" x14ac:dyDescent="0.25">
      <c r="B67" s="195" t="s">
        <v>14</v>
      </c>
      <c r="C67" s="258" t="str">
        <f>C69&amp;"-"&amp;C68&amp;", "&amp;C70&amp;" "&amp;B70</f>
        <v>-,  District</v>
      </c>
      <c r="D67" s="300"/>
      <c r="E67" s="5" t="s">
        <v>14</v>
      </c>
      <c r="F67" s="257" t="str">
        <f>F69&amp;"-"&amp;F68&amp;", "&amp;F70&amp;" "&amp;E70</f>
        <v>-,  District</v>
      </c>
      <c r="G67" s="193"/>
    </row>
    <row r="68" spans="2:7" hidden="1" x14ac:dyDescent="0.25">
      <c r="B68" s="195" t="s">
        <v>16</v>
      </c>
      <c r="C68" s="301"/>
      <c r="D68" s="5"/>
      <c r="E68" s="5" t="s">
        <v>16</v>
      </c>
      <c r="F68" s="302"/>
    </row>
    <row r="69" spans="2:7" hidden="1" x14ac:dyDescent="0.25">
      <c r="B69" s="195" t="s">
        <v>460</v>
      </c>
      <c r="C69" s="204"/>
      <c r="D69" s="300"/>
      <c r="E69" s="5" t="s">
        <v>460</v>
      </c>
      <c r="F69" s="299"/>
    </row>
    <row r="70" spans="2:7" hidden="1" x14ac:dyDescent="0.25">
      <c r="B70" s="195" t="s">
        <v>18</v>
      </c>
      <c r="C70" s="204"/>
      <c r="D70" s="5"/>
      <c r="E70" s="5" t="s">
        <v>18</v>
      </c>
      <c r="F70" s="299"/>
    </row>
    <row r="71" spans="2:7" hidden="1" x14ac:dyDescent="0.25">
      <c r="B71" s="195" t="str">
        <f>IF(OR(C65="Company (Proprietorship)",C65="Company (Pvt. Ltd.)"),
"Registration No.",
"Citizenship No.")</f>
        <v>Citizenship No.</v>
      </c>
      <c r="C71" s="204"/>
      <c r="D71" s="5"/>
      <c r="E71" s="5" t="str">
        <f>IF(OR(F65="Company (Proprietorship)",F65="Company (Pvt. Ltd.)"),
"Registration No.",
"Citizenship No.")</f>
        <v>Citizenship No.</v>
      </c>
      <c r="F71" s="299"/>
    </row>
    <row r="72" spans="2:7" hidden="1" x14ac:dyDescent="0.25">
      <c r="B72" s="195" t="str">
        <f>IF(OR(C65="Company (Proprietorship)",C65="Company (Pvt. Ltd.)"),
"Registration Date",
"Issued Date")</f>
        <v>Issued Date</v>
      </c>
      <c r="C72" s="317"/>
      <c r="D72" s="5"/>
      <c r="E72" s="5" t="str">
        <f>IF(OR(F65="Company (Proprietorship)",F65="Company (Pvt. Ltd.)"),
"Registration Date",
"Issued Date")</f>
        <v>Issued Date</v>
      </c>
      <c r="F72" s="318"/>
    </row>
    <row r="73" spans="2:7" hidden="1" x14ac:dyDescent="0.25">
      <c r="B73" s="195" t="s">
        <v>15</v>
      </c>
      <c r="C73" s="204"/>
      <c r="D73" s="5"/>
      <c r="E73" s="5" t="s">
        <v>15</v>
      </c>
      <c r="F73" s="299"/>
    </row>
    <row r="74" spans="2:7" hidden="1" x14ac:dyDescent="0.25">
      <c r="B74" s="195" t="str">
        <f>CHOOSE(MATCH(C65,
{"Company (Proprietorship)","Company (Pvt. Ltd.)","Individual (Male)","Individual (Female)"},
0),
"Proprietor's Name",
"Shareholder's Name",
"Father's Name",
"Husband's Name")</f>
        <v>Father's Name</v>
      </c>
      <c r="C74" s="204"/>
      <c r="D74" s="5"/>
      <c r="E74" s="5" t="str">
        <f>CHOOSE(MATCH(F65,
{"Company (Proprietorship)","Company (Pvt. Ltd.)","Individual (Male)","Individual (Female)"},
0),
"Proprietor's Name",
"Shareholder's Name",
"Father's Name",
"Husband's Name")</f>
        <v>Father's Name</v>
      </c>
      <c r="F74" s="299"/>
    </row>
    <row r="75" spans="2:7" hidden="1" x14ac:dyDescent="0.25">
      <c r="B75" s="195" t="str">
        <f>CHOOSE(MATCH(C65,
{"Company (Proprietorship)","Company (Pvt. Ltd.)","Individual (Male)","Individual (Female)"},
0),
"PAN No.",
"PAN No.",
"Grand Father's Name",
"Father in Law's Name")</f>
        <v>Grand Father's Name</v>
      </c>
      <c r="C75" s="317"/>
      <c r="D75" s="5"/>
      <c r="E75" s="5" t="str">
        <f>CHOOSE(MATCH(F65,
{"Company (Proprietorship)","Company (Pvt. Ltd.)","Individual (Male)","Individual (Female)"},
0),
"PAN No.",
"PAN No.",
"Grand Father's Name",
"Father in Law's Name")</f>
        <v>Grand Father's Name</v>
      </c>
      <c r="F75" s="318"/>
    </row>
    <row r="76" spans="2:7" hidden="1" x14ac:dyDescent="0.25">
      <c r="B76" s="195" t="s">
        <v>19</v>
      </c>
      <c r="C76" s="258">
        <f>'DE (Tentative)'!C26</f>
        <v>0</v>
      </c>
      <c r="E76" s="5" t="s">
        <v>19</v>
      </c>
      <c r="F76" s="257">
        <f>'DE (Tentative)'!F26</f>
        <v>0</v>
      </c>
    </row>
    <row r="77" spans="2:7" x14ac:dyDescent="0.25">
      <c r="B77" s="193"/>
      <c r="F77" s="194"/>
    </row>
    <row r="78" spans="2:7" x14ac:dyDescent="0.25">
      <c r="B78" s="193"/>
      <c r="F78" s="194"/>
    </row>
    <row r="79" spans="2:7" x14ac:dyDescent="0.25">
      <c r="B79" s="193"/>
      <c r="F79" s="194"/>
    </row>
    <row r="80" spans="2:7" ht="18.75" x14ac:dyDescent="0.25">
      <c r="B80" s="407" t="s">
        <v>79</v>
      </c>
      <c r="C80" s="408"/>
      <c r="F80" s="194"/>
    </row>
    <row r="81" spans="2:6" x14ac:dyDescent="0.25">
      <c r="B81" s="197" t="s">
        <v>20</v>
      </c>
      <c r="C81" s="253">
        <f>'DE (Tentative)'!C31</f>
        <v>298</v>
      </c>
      <c r="E81" s="151" t="s">
        <v>18</v>
      </c>
      <c r="F81" s="256" t="str">
        <f>'DE (Tentative)'!F31</f>
        <v>Kathmandu</v>
      </c>
    </row>
    <row r="82" spans="2:6" ht="6.6" customHeight="1" x14ac:dyDescent="0.25">
      <c r="B82" s="193"/>
      <c r="F82" s="194"/>
    </row>
    <row r="83" spans="2:6" x14ac:dyDescent="0.25">
      <c r="B83" s="197" t="str">
        <f>'DE (Tentative)'!B33</f>
        <v>Present Address</v>
      </c>
      <c r="C83" s="255" t="str">
        <f>'DE (Tentative)'!C33</f>
        <v>Gokarneshwor Municipality</v>
      </c>
      <c r="E83" s="151" t="s">
        <v>280</v>
      </c>
      <c r="F83" s="347">
        <f>'DE (Tentative)'!F33</f>
        <v>6</v>
      </c>
    </row>
    <row r="84" spans="2:6" ht="6.6" customHeight="1" x14ac:dyDescent="0.25">
      <c r="B84" s="193"/>
      <c r="F84" s="194"/>
    </row>
    <row r="85" spans="2:6" x14ac:dyDescent="0.25">
      <c r="B85" s="197" t="str">
        <f>'DE (Tentative)'!B35</f>
        <v>Sabik</v>
      </c>
      <c r="C85" s="255" t="str">
        <f>'DE (Tentative)'!C35</f>
        <v>Jorpati VDC</v>
      </c>
      <c r="E85" s="151" t="s">
        <v>282</v>
      </c>
      <c r="F85" s="347">
        <f>'DE (Tentative)'!F35</f>
        <v>4</v>
      </c>
    </row>
    <row r="86" spans="2:6" ht="6.6" customHeight="1" x14ac:dyDescent="0.25">
      <c r="B86" s="193"/>
      <c r="F86" s="194"/>
    </row>
    <row r="87" spans="2:6" x14ac:dyDescent="0.25">
      <c r="B87" s="198" t="s">
        <v>286</v>
      </c>
      <c r="C87" s="414" t="str">
        <f>C83&amp;"-"&amp;F83&amp;" (Sabik "&amp;C85&amp;"-"&amp;F85&amp;"), "&amp;F81&amp;" "&amp;E81</f>
        <v>Gokarneshwor Municipality-6 (Sabik Jorpati VDC-4), Kathmandu District</v>
      </c>
      <c r="D87" s="384"/>
      <c r="E87" s="384"/>
      <c r="F87" s="385"/>
    </row>
    <row r="88" spans="2:6" ht="15.75" thickBot="1" x14ac:dyDescent="0.3">
      <c r="B88" s="199"/>
      <c r="C88" s="200"/>
      <c r="D88" s="200"/>
      <c r="E88" s="200"/>
      <c r="F88" s="201"/>
    </row>
    <row r="89" spans="2:6" ht="15.75" thickBot="1" x14ac:dyDescent="0.3"/>
    <row r="90" spans="2:6" ht="22.5" customHeight="1" thickBot="1" x14ac:dyDescent="0.3">
      <c r="B90" s="374" t="s">
        <v>386</v>
      </c>
      <c r="C90" s="375"/>
      <c r="D90" s="375"/>
      <c r="E90" s="375"/>
      <c r="F90" s="376"/>
    </row>
    <row r="91" spans="2:6" x14ac:dyDescent="0.25">
      <c r="B91" s="193"/>
      <c r="F91" s="194"/>
    </row>
    <row r="92" spans="2:6" x14ac:dyDescent="0.25">
      <c r="B92" s="195" t="s">
        <v>434</v>
      </c>
      <c r="C92" s="202" t="s">
        <v>435</v>
      </c>
      <c r="E92" s="2"/>
      <c r="F92" s="194"/>
    </row>
    <row r="93" spans="2:6" ht="6.6" customHeight="1" x14ac:dyDescent="0.25">
      <c r="B93" s="193"/>
      <c r="F93" s="194"/>
    </row>
    <row r="94" spans="2:6" x14ac:dyDescent="0.25">
      <c r="B94" s="195" t="s">
        <v>433</v>
      </c>
      <c r="C94" s="281" t="s">
        <v>523</v>
      </c>
      <c r="E94" s="5"/>
      <c r="F94" s="348"/>
    </row>
    <row r="95" spans="2:6" ht="6.6" customHeight="1" x14ac:dyDescent="0.25">
      <c r="B95" s="193"/>
      <c r="E95" s="5"/>
      <c r="F95" s="194"/>
    </row>
    <row r="96" spans="2:6" x14ac:dyDescent="0.25">
      <c r="B96" s="195" t="s">
        <v>463</v>
      </c>
      <c r="C96" s="259">
        <v>102102919</v>
      </c>
      <c r="E96" s="5"/>
      <c r="F96" s="348"/>
    </row>
    <row r="97" spans="2:6" ht="6.6" customHeight="1" x14ac:dyDescent="0.25">
      <c r="B97" s="193"/>
      <c r="E97" s="5"/>
      <c r="F97" s="194"/>
    </row>
    <row r="98" spans="2:6" x14ac:dyDescent="0.25">
      <c r="B98" s="195" t="s">
        <v>437</v>
      </c>
      <c r="C98" s="281" t="s">
        <v>47</v>
      </c>
      <c r="E98" s="5"/>
      <c r="F98" s="348"/>
    </row>
    <row r="99" spans="2:6" ht="6.6" customHeight="1" x14ac:dyDescent="0.25">
      <c r="B99" s="193"/>
      <c r="F99" s="194"/>
    </row>
    <row r="100" spans="2:6" x14ac:dyDescent="0.25">
      <c r="B100" s="195" t="s">
        <v>436</v>
      </c>
      <c r="C100" s="281" t="s">
        <v>540</v>
      </c>
      <c r="F100" s="194"/>
    </row>
    <row r="101" spans="2:6" ht="6.6" customHeight="1" x14ac:dyDescent="0.25">
      <c r="B101" s="193"/>
      <c r="F101" s="194"/>
    </row>
    <row r="102" spans="2:6" x14ac:dyDescent="0.25">
      <c r="B102" s="195" t="s">
        <v>403</v>
      </c>
      <c r="C102" s="411" t="s">
        <v>254</v>
      </c>
      <c r="D102" s="411"/>
      <c r="E102" s="411"/>
      <c r="F102" s="412"/>
    </row>
    <row r="103" spans="2:6" ht="6.6" customHeight="1" x14ac:dyDescent="0.25">
      <c r="B103" s="193"/>
      <c r="F103" s="194"/>
    </row>
    <row r="104" spans="2:6" x14ac:dyDescent="0.25">
      <c r="B104" s="195" t="s">
        <v>394</v>
      </c>
      <c r="C104" s="411" t="s">
        <v>524</v>
      </c>
      <c r="D104" s="411"/>
      <c r="E104" s="411"/>
      <c r="F104" s="412"/>
    </row>
    <row r="105" spans="2:6" ht="6.6" customHeight="1" x14ac:dyDescent="0.25">
      <c r="B105" s="193"/>
      <c r="F105" s="194"/>
    </row>
    <row r="106" spans="2:6" x14ac:dyDescent="0.25">
      <c r="B106" s="195" t="s">
        <v>441</v>
      </c>
      <c r="C106" s="411" t="s">
        <v>248</v>
      </c>
      <c r="D106" s="411"/>
      <c r="E106" s="411"/>
      <c r="F106" s="412"/>
    </row>
    <row r="107" spans="2:6" ht="6.6" customHeight="1" x14ac:dyDescent="0.25">
      <c r="B107" s="193"/>
      <c r="F107" s="194"/>
    </row>
    <row r="108" spans="2:6" x14ac:dyDescent="0.25">
      <c r="B108" s="195" t="s">
        <v>442</v>
      </c>
      <c r="C108" s="411" t="s">
        <v>39</v>
      </c>
      <c r="D108" s="411"/>
      <c r="E108" s="411"/>
      <c r="F108" s="412"/>
    </row>
    <row r="109" spans="2:6" ht="6.6" customHeight="1" x14ac:dyDescent="0.25">
      <c r="B109" s="193"/>
      <c r="F109" s="194"/>
    </row>
    <row r="110" spans="2:6" x14ac:dyDescent="0.25">
      <c r="B110" s="195" t="s">
        <v>443</v>
      </c>
      <c r="C110" s="411" t="s">
        <v>525</v>
      </c>
      <c r="D110" s="411"/>
      <c r="E110" s="411"/>
      <c r="F110" s="412"/>
    </row>
    <row r="111" spans="2:6" ht="6.6" customHeight="1" x14ac:dyDescent="0.25">
      <c r="B111" s="193"/>
      <c r="F111" s="194"/>
    </row>
    <row r="112" spans="2:6" x14ac:dyDescent="0.25">
      <c r="B112" s="195" t="s">
        <v>444</v>
      </c>
      <c r="C112" s="411" t="s">
        <v>526</v>
      </c>
      <c r="D112" s="411"/>
      <c r="E112" s="411"/>
      <c r="F112" s="412"/>
    </row>
    <row r="113" spans="2:6" ht="6.6" customHeight="1" x14ac:dyDescent="0.25">
      <c r="B113" s="193"/>
      <c r="F113" s="194"/>
    </row>
    <row r="114" spans="2:6" x14ac:dyDescent="0.25">
      <c r="B114" s="195" t="s">
        <v>445</v>
      </c>
      <c r="C114" s="411" t="s">
        <v>527</v>
      </c>
      <c r="D114" s="411"/>
      <c r="E114" s="411"/>
      <c r="F114" s="412"/>
    </row>
    <row r="115" spans="2:6" ht="6.6" customHeight="1" x14ac:dyDescent="0.25">
      <c r="B115" s="193"/>
      <c r="F115" s="194"/>
    </row>
    <row r="116" spans="2:6" x14ac:dyDescent="0.25">
      <c r="B116" s="195" t="s">
        <v>446</v>
      </c>
      <c r="C116" s="411" t="s">
        <v>528</v>
      </c>
      <c r="D116" s="411"/>
      <c r="E116" s="411"/>
      <c r="F116" s="412"/>
    </row>
    <row r="117" spans="2:6" ht="6.6" customHeight="1" x14ac:dyDescent="0.25">
      <c r="B117" s="193"/>
      <c r="F117" s="194"/>
    </row>
    <row r="118" spans="2:6" x14ac:dyDescent="0.25">
      <c r="B118" s="195" t="s">
        <v>393</v>
      </c>
      <c r="C118" s="411" t="s">
        <v>538</v>
      </c>
      <c r="D118" s="411"/>
      <c r="E118" s="411"/>
      <c r="F118" s="412"/>
    </row>
    <row r="119" spans="2:6" ht="6.6" customHeight="1" x14ac:dyDescent="0.25">
      <c r="B119" s="193"/>
      <c r="F119" s="194"/>
    </row>
    <row r="120" spans="2:6" x14ac:dyDescent="0.25">
      <c r="B120" s="195" t="s">
        <v>448</v>
      </c>
      <c r="C120" s="411" t="s">
        <v>254</v>
      </c>
      <c r="D120" s="411"/>
      <c r="E120" s="411"/>
      <c r="F120" s="412"/>
    </row>
    <row r="121" spans="2:6" ht="6.6" customHeight="1" x14ac:dyDescent="0.25">
      <c r="B121" s="193"/>
      <c r="F121" s="194"/>
    </row>
    <row r="122" spans="2:6" x14ac:dyDescent="0.25">
      <c r="B122" s="195" t="s">
        <v>404</v>
      </c>
      <c r="C122" s="411" t="s">
        <v>529</v>
      </c>
      <c r="D122" s="411"/>
      <c r="E122" s="411"/>
      <c r="F122" s="412"/>
    </row>
    <row r="123" spans="2:6" ht="6.6" customHeight="1" x14ac:dyDescent="0.25">
      <c r="B123" s="193"/>
      <c r="F123" s="194"/>
    </row>
    <row r="124" spans="2:6" x14ac:dyDescent="0.25">
      <c r="B124" s="195" t="s">
        <v>438</v>
      </c>
      <c r="C124" s="409" t="s">
        <v>47</v>
      </c>
      <c r="D124" s="413"/>
      <c r="E124" s="413"/>
      <c r="F124" s="410"/>
    </row>
    <row r="125" spans="2:6" x14ac:dyDescent="0.25">
      <c r="B125" s="193"/>
      <c r="F125" s="194"/>
    </row>
    <row r="126" spans="2:6" ht="18.75" x14ac:dyDescent="0.25">
      <c r="B126" s="407" t="s">
        <v>387</v>
      </c>
      <c r="C126" s="408"/>
      <c r="F126" s="194"/>
    </row>
    <row r="127" spans="2:6" x14ac:dyDescent="0.25">
      <c r="B127" s="195" t="s">
        <v>388</v>
      </c>
      <c r="C127" s="259" t="s">
        <v>530</v>
      </c>
      <c r="F127" s="194"/>
    </row>
    <row r="128" spans="2:6" ht="6.6" customHeight="1" x14ac:dyDescent="0.25">
      <c r="B128" s="193"/>
      <c r="F128" s="194"/>
    </row>
    <row r="129" spans="2:6" x14ac:dyDescent="0.25">
      <c r="B129" s="195" t="s">
        <v>389</v>
      </c>
      <c r="C129" s="259" t="s">
        <v>531</v>
      </c>
      <c r="F129" s="194"/>
    </row>
    <row r="130" spans="2:6" ht="6.6" customHeight="1" x14ac:dyDescent="0.25">
      <c r="B130" s="193"/>
      <c r="F130" s="194"/>
    </row>
    <row r="131" spans="2:6" x14ac:dyDescent="0.25">
      <c r="B131" s="195" t="s">
        <v>390</v>
      </c>
      <c r="C131" s="259" t="s">
        <v>532</v>
      </c>
      <c r="F131" s="194"/>
    </row>
    <row r="132" spans="2:6" ht="6.6" customHeight="1" x14ac:dyDescent="0.25">
      <c r="B132" s="193"/>
      <c r="F132" s="194"/>
    </row>
    <row r="133" spans="2:6" x14ac:dyDescent="0.25">
      <c r="B133" s="195" t="s">
        <v>391</v>
      </c>
      <c r="C133" s="259" t="s">
        <v>533</v>
      </c>
      <c r="F133" s="194"/>
    </row>
    <row r="134" spans="2:6" x14ac:dyDescent="0.25">
      <c r="B134" s="193"/>
      <c r="C134" s="13"/>
      <c r="F134" s="194"/>
    </row>
    <row r="135" spans="2:6" x14ac:dyDescent="0.25">
      <c r="B135" s="195" t="s">
        <v>439</v>
      </c>
      <c r="C135" s="281" t="s">
        <v>534</v>
      </c>
      <c r="F135" s="194"/>
    </row>
    <row r="136" spans="2:6" ht="6.6" customHeight="1" x14ac:dyDescent="0.25">
      <c r="B136" s="193"/>
      <c r="F136" s="194"/>
    </row>
    <row r="137" spans="2:6" x14ac:dyDescent="0.25">
      <c r="B137" s="195" t="s">
        <v>392</v>
      </c>
      <c r="C137" s="259">
        <v>1787</v>
      </c>
      <c r="F137" s="194"/>
    </row>
    <row r="138" spans="2:6" x14ac:dyDescent="0.25">
      <c r="B138" s="195"/>
      <c r="F138" s="194"/>
    </row>
    <row r="139" spans="2:6" x14ac:dyDescent="0.25">
      <c r="B139" s="195"/>
      <c r="F139" s="194"/>
    </row>
    <row r="140" spans="2:6" ht="18.75" x14ac:dyDescent="0.25">
      <c r="B140" s="407" t="s">
        <v>405</v>
      </c>
      <c r="C140" s="408"/>
      <c r="F140" s="194"/>
    </row>
    <row r="141" spans="2:6" x14ac:dyDescent="0.25">
      <c r="B141" s="195" t="s">
        <v>200</v>
      </c>
      <c r="C141" t="b">
        <v>1</v>
      </c>
      <c r="F141" s="194"/>
    </row>
    <row r="142" spans="2:6" ht="6.6" customHeight="1" x14ac:dyDescent="0.25">
      <c r="B142" s="193"/>
      <c r="F142" s="194"/>
    </row>
    <row r="143" spans="2:6" x14ac:dyDescent="0.25">
      <c r="B143" s="195" t="s">
        <v>406</v>
      </c>
      <c r="C143" t="b">
        <v>1</v>
      </c>
      <c r="F143" s="194"/>
    </row>
    <row r="144" spans="2:6" ht="6.6" customHeight="1" x14ac:dyDescent="0.25">
      <c r="B144" s="193"/>
      <c r="F144" s="194"/>
    </row>
    <row r="145" spans="2:6" x14ac:dyDescent="0.25">
      <c r="B145" s="195" t="s">
        <v>407</v>
      </c>
      <c r="C145" t="b">
        <v>1</v>
      </c>
      <c r="F145" s="194"/>
    </row>
    <row r="146" spans="2:6" ht="6.6" customHeight="1" x14ac:dyDescent="0.25">
      <c r="B146" s="193"/>
      <c r="F146" s="194"/>
    </row>
    <row r="147" spans="2:6" x14ac:dyDescent="0.25">
      <c r="B147" s="195" t="s">
        <v>408</v>
      </c>
      <c r="C147" t="b">
        <v>1</v>
      </c>
      <c r="F147" s="194"/>
    </row>
    <row r="148" spans="2:6" ht="6.6" customHeight="1" x14ac:dyDescent="0.25">
      <c r="B148" s="193"/>
      <c r="F148" s="194"/>
    </row>
    <row r="149" spans="2:6" x14ac:dyDescent="0.25">
      <c r="B149" s="195" t="s">
        <v>202</v>
      </c>
      <c r="C149" t="b">
        <v>1</v>
      </c>
      <c r="F149" s="194"/>
    </row>
    <row r="150" spans="2:6" ht="6.6" customHeight="1" x14ac:dyDescent="0.25">
      <c r="B150" s="193"/>
      <c r="F150" s="194"/>
    </row>
    <row r="151" spans="2:6" x14ac:dyDescent="0.25">
      <c r="B151" s="195" t="s">
        <v>409</v>
      </c>
      <c r="C151" t="b">
        <v>1</v>
      </c>
      <c r="F151" s="194"/>
    </row>
    <row r="152" spans="2:6" x14ac:dyDescent="0.25">
      <c r="B152" s="195"/>
      <c r="F152" s="194"/>
    </row>
    <row r="153" spans="2:6" ht="18.75" x14ac:dyDescent="0.25">
      <c r="B153" s="407" t="s">
        <v>410</v>
      </c>
      <c r="C153" s="408"/>
      <c r="F153" s="194"/>
    </row>
    <row r="154" spans="2:6" x14ac:dyDescent="0.25">
      <c r="B154" s="195" t="s">
        <v>412</v>
      </c>
      <c r="C154" t="b">
        <v>0</v>
      </c>
      <c r="D154" s="5" t="s">
        <v>429</v>
      </c>
      <c r="E154" s="409" t="s">
        <v>44</v>
      </c>
      <c r="F154" s="410"/>
    </row>
    <row r="155" spans="2:6" ht="6.6" customHeight="1" x14ac:dyDescent="0.25">
      <c r="B155" s="193"/>
      <c r="F155" s="194"/>
    </row>
    <row r="156" spans="2:6" x14ac:dyDescent="0.25">
      <c r="B156" s="195" t="s">
        <v>411</v>
      </c>
      <c r="C156" t="b">
        <v>0</v>
      </c>
      <c r="D156" s="5" t="s">
        <v>429</v>
      </c>
      <c r="E156" s="409" t="s">
        <v>44</v>
      </c>
      <c r="F156" s="410"/>
    </row>
    <row r="157" spans="2:6" ht="6.6" customHeight="1" x14ac:dyDescent="0.25">
      <c r="B157" s="193"/>
      <c r="F157" s="194"/>
    </row>
    <row r="158" spans="2:6" x14ac:dyDescent="0.25">
      <c r="B158" s="195" t="s">
        <v>414</v>
      </c>
      <c r="C158" t="b">
        <v>0</v>
      </c>
      <c r="F158" s="194"/>
    </row>
    <row r="159" spans="2:6" ht="6.6" customHeight="1" x14ac:dyDescent="0.25">
      <c r="B159" s="193"/>
      <c r="F159" s="194"/>
    </row>
    <row r="160" spans="2:6" x14ac:dyDescent="0.25">
      <c r="B160" s="195" t="s">
        <v>413</v>
      </c>
      <c r="C160" t="b">
        <v>0</v>
      </c>
      <c r="F160" s="194"/>
    </row>
    <row r="161" spans="2:6" ht="6.6" customHeight="1" x14ac:dyDescent="0.25">
      <c r="B161" s="193"/>
      <c r="F161" s="194"/>
    </row>
    <row r="162" spans="2:6" x14ac:dyDescent="0.25">
      <c r="B162" s="195" t="s">
        <v>203</v>
      </c>
      <c r="C162" t="b">
        <v>0</v>
      </c>
      <c r="F162" s="194"/>
    </row>
    <row r="163" spans="2:6" ht="6.6" customHeight="1" x14ac:dyDescent="0.25">
      <c r="B163" s="193"/>
      <c r="F163" s="194"/>
    </row>
    <row r="164" spans="2:6" x14ac:dyDescent="0.25">
      <c r="B164" s="195" t="s">
        <v>415</v>
      </c>
      <c r="C164" t="b">
        <v>0</v>
      </c>
      <c r="F164" s="194"/>
    </row>
    <row r="165" spans="2:6" ht="6.6" customHeight="1" x14ac:dyDescent="0.25">
      <c r="B165" s="193"/>
      <c r="F165" s="194"/>
    </row>
    <row r="166" spans="2:6" x14ac:dyDescent="0.25">
      <c r="B166" s="195" t="s">
        <v>416</v>
      </c>
      <c r="C166" t="b">
        <v>0</v>
      </c>
      <c r="F166" s="194"/>
    </row>
    <row r="167" spans="2:6" ht="6.6" customHeight="1" x14ac:dyDescent="0.25">
      <c r="B167" s="193"/>
      <c r="F167" s="194"/>
    </row>
    <row r="168" spans="2:6" x14ac:dyDescent="0.25">
      <c r="B168" s="195" t="s">
        <v>417</v>
      </c>
      <c r="C168" t="b">
        <v>0</v>
      </c>
      <c r="F168" s="194"/>
    </row>
    <row r="169" spans="2:6" ht="6.6" customHeight="1" x14ac:dyDescent="0.25">
      <c r="B169" s="193"/>
      <c r="F169" s="194"/>
    </row>
    <row r="170" spans="2:6" x14ac:dyDescent="0.25">
      <c r="B170" s="195" t="s">
        <v>418</v>
      </c>
      <c r="C170" t="b">
        <v>0</v>
      </c>
      <c r="F170" s="194"/>
    </row>
    <row r="171" spans="2:6" ht="6.6" customHeight="1" x14ac:dyDescent="0.25">
      <c r="B171" s="193"/>
      <c r="F171" s="194"/>
    </row>
    <row r="172" spans="2:6" x14ac:dyDescent="0.25">
      <c r="B172" s="195" t="s">
        <v>419</v>
      </c>
      <c r="C172" t="b">
        <v>0</v>
      </c>
      <c r="F172" s="194"/>
    </row>
    <row r="173" spans="2:6" x14ac:dyDescent="0.25">
      <c r="B173" s="195"/>
      <c r="F173" s="194"/>
    </row>
    <row r="174" spans="2:6" ht="18.75" x14ac:dyDescent="0.25">
      <c r="B174" s="407" t="s">
        <v>447</v>
      </c>
      <c r="C174" s="408"/>
      <c r="F174" s="194"/>
    </row>
    <row r="175" spans="2:6" x14ac:dyDescent="0.25">
      <c r="B175" s="195" t="s">
        <v>420</v>
      </c>
      <c r="C175" s="259" t="s">
        <v>428</v>
      </c>
      <c r="F175" s="194"/>
    </row>
    <row r="176" spans="2:6" ht="6.6" customHeight="1" x14ac:dyDescent="0.25">
      <c r="B176" s="193"/>
      <c r="F176" s="194"/>
    </row>
    <row r="177" spans="2:6" x14ac:dyDescent="0.25">
      <c r="B177" s="195" t="s">
        <v>421</v>
      </c>
      <c r="C177" s="259" t="s">
        <v>535</v>
      </c>
      <c r="F177" s="194"/>
    </row>
    <row r="178" spans="2:6" ht="6.6" customHeight="1" x14ac:dyDescent="0.25">
      <c r="B178" s="193"/>
      <c r="F178" s="194"/>
    </row>
    <row r="179" spans="2:6" x14ac:dyDescent="0.25">
      <c r="B179" s="195" t="s">
        <v>422</v>
      </c>
      <c r="C179" s="259" t="s">
        <v>60</v>
      </c>
      <c r="F179" s="194"/>
    </row>
    <row r="180" spans="2:6" ht="15.75" thickBot="1" x14ac:dyDescent="0.3">
      <c r="B180" s="199"/>
      <c r="C180" s="200"/>
      <c r="D180" s="200"/>
      <c r="E180" s="200"/>
      <c r="F180" s="201"/>
    </row>
  </sheetData>
  <mergeCells count="22">
    <mergeCell ref="B2:F2"/>
    <mergeCell ref="B80:C80"/>
    <mergeCell ref="C87:F87"/>
    <mergeCell ref="B90:F90"/>
    <mergeCell ref="C112:F112"/>
    <mergeCell ref="C106:F106"/>
    <mergeCell ref="C108:F108"/>
    <mergeCell ref="C110:F110"/>
    <mergeCell ref="B126:C126"/>
    <mergeCell ref="C118:F118"/>
    <mergeCell ref="C104:F104"/>
    <mergeCell ref="C102:F102"/>
    <mergeCell ref="C122:F122"/>
    <mergeCell ref="C124:F124"/>
    <mergeCell ref="C114:F114"/>
    <mergeCell ref="C116:F116"/>
    <mergeCell ref="C120:F120"/>
    <mergeCell ref="B140:C140"/>
    <mergeCell ref="B153:C153"/>
    <mergeCell ref="B174:C174"/>
    <mergeCell ref="E156:F156"/>
    <mergeCell ref="E154:F154"/>
  </mergeCells>
  <dataValidations count="6">
    <dataValidation allowBlank="1" showInputMessage="1" showErrorMessage="1" prompt="If Yes, enter the distance from the high-tension line and specify the KVA. If No, enter ‘N/A’." sqref="E156:F156"/>
    <dataValidation allowBlank="1" showInputMessage="1" showErrorMessage="1" prompt="If Yes, enter the distance from the river/stream and specify its name. If No, enter ‘N/A’." sqref="E154:F154"/>
    <dataValidation allowBlank="1" showInputMessage="1" showErrorMessage="1" prompt="Enter slope classification:_x000a_Plain (0–3°), Gentle Slope (3–7°), Moderate Slope (7–15°), Steep Slope (15–25°), Very Steep Slope (&gt;25°)._x000a_" sqref="C108:F108"/>
    <dataValidation allowBlank="1" showInputMessage="1" showErrorMessage="1" prompt="Do not edit. This cell is formula-driven." sqref="C14 F14 C24 F24 C81 C83 C85 F81 F83 F85 C87:F87 F5 C27 F27 C37 F37 C40 F40 C50 F50 C53 F53 C63 F63 C66 F66 C76 F76"/>
    <dataValidation type="list" allowBlank="1" showInputMessage="1" showErrorMessage="1" sqref="C13 F13 C26 F26 C39 F39 C52 F52 C65 F65">
      <formula1>"Individual (Male),Individual (Female),Company (Proprietorship),Company (Pvt. Ltd.)"</formula1>
    </dataValidation>
    <dataValidation type="list" allowBlank="1" showInputMessage="1" showErrorMessage="1" sqref="C11">
      <formula1>"1,2,3,4,5"</formula1>
    </dataValidation>
  </dataValidations>
  <pageMargins left="0.7" right="0.7" top="0.75" bottom="0.75" header="0.3" footer="0.3"/>
  <pageSetup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Check Box 1">
              <controlPr defaultSize="0" autoFill="0" autoLine="0" autoPict="0">
                <anchor moveWithCells="1">
                  <from>
                    <xdr:col>2</xdr:col>
                    <xdr:colOff>9525</xdr:colOff>
                    <xdr:row>139</xdr:row>
                    <xdr:rowOff>209550</xdr:rowOff>
                  </from>
                  <to>
                    <xdr:col>2</xdr:col>
                    <xdr:colOff>742950</xdr:colOff>
                    <xdr:row>141</xdr:row>
                    <xdr:rowOff>19050</xdr:rowOff>
                  </to>
                </anchor>
              </controlPr>
            </control>
          </mc:Choice>
        </mc:AlternateContent>
        <mc:AlternateContent xmlns:mc="http://schemas.openxmlformats.org/markup-compatibility/2006">
          <mc:Choice Requires="x14">
            <control shapeId="20482" r:id="rId5" name="Check Box 2">
              <controlPr defaultSize="0" autoFill="0" autoLine="0" autoPict="0">
                <anchor moveWithCells="1">
                  <from>
                    <xdr:col>2</xdr:col>
                    <xdr:colOff>9525</xdr:colOff>
                    <xdr:row>141</xdr:row>
                    <xdr:rowOff>171450</xdr:rowOff>
                  </from>
                  <to>
                    <xdr:col>2</xdr:col>
                    <xdr:colOff>742950</xdr:colOff>
                    <xdr:row>143</xdr:row>
                    <xdr:rowOff>28575</xdr:rowOff>
                  </to>
                </anchor>
              </controlPr>
            </control>
          </mc:Choice>
        </mc:AlternateContent>
        <mc:AlternateContent xmlns:mc="http://schemas.openxmlformats.org/markup-compatibility/2006">
          <mc:Choice Requires="x14">
            <control shapeId="20483" r:id="rId6" name="Check Box 3">
              <controlPr defaultSize="0" autoFill="0" autoLine="0" autoPict="0">
                <anchor moveWithCells="1">
                  <from>
                    <xdr:col>2</xdr:col>
                    <xdr:colOff>19050</xdr:colOff>
                    <xdr:row>143</xdr:row>
                    <xdr:rowOff>161925</xdr:rowOff>
                  </from>
                  <to>
                    <xdr:col>2</xdr:col>
                    <xdr:colOff>752475</xdr:colOff>
                    <xdr:row>145</xdr:row>
                    <xdr:rowOff>28575</xdr:rowOff>
                  </to>
                </anchor>
              </controlPr>
            </control>
          </mc:Choice>
        </mc:AlternateContent>
        <mc:AlternateContent xmlns:mc="http://schemas.openxmlformats.org/markup-compatibility/2006">
          <mc:Choice Requires="x14">
            <control shapeId="20484" r:id="rId7" name="Check Box 4">
              <controlPr defaultSize="0" autoFill="0" autoLine="0" autoPict="0">
                <anchor moveWithCells="1">
                  <from>
                    <xdr:col>2</xdr:col>
                    <xdr:colOff>19050</xdr:colOff>
                    <xdr:row>145</xdr:row>
                    <xdr:rowOff>171450</xdr:rowOff>
                  </from>
                  <to>
                    <xdr:col>2</xdr:col>
                    <xdr:colOff>752475</xdr:colOff>
                    <xdr:row>147</xdr:row>
                    <xdr:rowOff>28575</xdr:rowOff>
                  </to>
                </anchor>
              </controlPr>
            </control>
          </mc:Choice>
        </mc:AlternateContent>
        <mc:AlternateContent xmlns:mc="http://schemas.openxmlformats.org/markup-compatibility/2006">
          <mc:Choice Requires="x14">
            <control shapeId="20485" r:id="rId8" name="Check Box 5">
              <controlPr defaultSize="0" autoFill="0" autoLine="0" autoPict="0">
                <anchor moveWithCells="1">
                  <from>
                    <xdr:col>2</xdr:col>
                    <xdr:colOff>19050</xdr:colOff>
                    <xdr:row>147</xdr:row>
                    <xdr:rowOff>171450</xdr:rowOff>
                  </from>
                  <to>
                    <xdr:col>2</xdr:col>
                    <xdr:colOff>752475</xdr:colOff>
                    <xdr:row>149</xdr:row>
                    <xdr:rowOff>28575</xdr:rowOff>
                  </to>
                </anchor>
              </controlPr>
            </control>
          </mc:Choice>
        </mc:AlternateContent>
        <mc:AlternateContent xmlns:mc="http://schemas.openxmlformats.org/markup-compatibility/2006">
          <mc:Choice Requires="x14">
            <control shapeId="20486" r:id="rId9" name="Check Box 6">
              <controlPr defaultSize="0" autoFill="0" autoLine="0" autoPict="0">
                <anchor moveWithCells="1">
                  <from>
                    <xdr:col>2</xdr:col>
                    <xdr:colOff>19050</xdr:colOff>
                    <xdr:row>149</xdr:row>
                    <xdr:rowOff>171450</xdr:rowOff>
                  </from>
                  <to>
                    <xdr:col>2</xdr:col>
                    <xdr:colOff>752475</xdr:colOff>
                    <xdr:row>151</xdr:row>
                    <xdr:rowOff>28575</xdr:rowOff>
                  </to>
                </anchor>
              </controlPr>
            </control>
          </mc:Choice>
        </mc:AlternateContent>
        <mc:AlternateContent xmlns:mc="http://schemas.openxmlformats.org/markup-compatibility/2006">
          <mc:Choice Requires="x14">
            <control shapeId="20487" r:id="rId10" name="Check Box 7">
              <controlPr defaultSize="0" autoFill="0" autoLine="0" autoPict="0">
                <anchor moveWithCells="1">
                  <from>
                    <xdr:col>2</xdr:col>
                    <xdr:colOff>19050</xdr:colOff>
                    <xdr:row>152</xdr:row>
                    <xdr:rowOff>209550</xdr:rowOff>
                  </from>
                  <to>
                    <xdr:col>2</xdr:col>
                    <xdr:colOff>752475</xdr:colOff>
                    <xdr:row>154</xdr:row>
                    <xdr:rowOff>19050</xdr:rowOff>
                  </to>
                </anchor>
              </controlPr>
            </control>
          </mc:Choice>
        </mc:AlternateContent>
        <mc:AlternateContent xmlns:mc="http://schemas.openxmlformats.org/markup-compatibility/2006">
          <mc:Choice Requires="x14">
            <control shapeId="20488" r:id="rId11" name="Check Box 8">
              <controlPr defaultSize="0" autoFill="0" autoLine="0" autoPict="0">
                <anchor moveWithCells="1">
                  <from>
                    <xdr:col>2</xdr:col>
                    <xdr:colOff>19050</xdr:colOff>
                    <xdr:row>154</xdr:row>
                    <xdr:rowOff>171450</xdr:rowOff>
                  </from>
                  <to>
                    <xdr:col>2</xdr:col>
                    <xdr:colOff>752475</xdr:colOff>
                    <xdr:row>156</xdr:row>
                    <xdr:rowOff>28575</xdr:rowOff>
                  </to>
                </anchor>
              </controlPr>
            </control>
          </mc:Choice>
        </mc:AlternateContent>
        <mc:AlternateContent xmlns:mc="http://schemas.openxmlformats.org/markup-compatibility/2006">
          <mc:Choice Requires="x14">
            <control shapeId="20489" r:id="rId12" name="Check Box 9">
              <controlPr defaultSize="0" autoFill="0" autoLine="0" autoPict="0">
                <anchor moveWithCells="1">
                  <from>
                    <xdr:col>2</xdr:col>
                    <xdr:colOff>19050</xdr:colOff>
                    <xdr:row>156</xdr:row>
                    <xdr:rowOff>171450</xdr:rowOff>
                  </from>
                  <to>
                    <xdr:col>2</xdr:col>
                    <xdr:colOff>752475</xdr:colOff>
                    <xdr:row>158</xdr:row>
                    <xdr:rowOff>28575</xdr:rowOff>
                  </to>
                </anchor>
              </controlPr>
            </control>
          </mc:Choice>
        </mc:AlternateContent>
        <mc:AlternateContent xmlns:mc="http://schemas.openxmlformats.org/markup-compatibility/2006">
          <mc:Choice Requires="x14">
            <control shapeId="20490" r:id="rId13" name="Check Box 10">
              <controlPr defaultSize="0" autoFill="0" autoLine="0" autoPict="0">
                <anchor moveWithCells="1">
                  <from>
                    <xdr:col>2</xdr:col>
                    <xdr:colOff>19050</xdr:colOff>
                    <xdr:row>158</xdr:row>
                    <xdr:rowOff>171450</xdr:rowOff>
                  </from>
                  <to>
                    <xdr:col>2</xdr:col>
                    <xdr:colOff>752475</xdr:colOff>
                    <xdr:row>160</xdr:row>
                    <xdr:rowOff>28575</xdr:rowOff>
                  </to>
                </anchor>
              </controlPr>
            </control>
          </mc:Choice>
        </mc:AlternateContent>
        <mc:AlternateContent xmlns:mc="http://schemas.openxmlformats.org/markup-compatibility/2006">
          <mc:Choice Requires="x14">
            <control shapeId="20491" r:id="rId14" name="Check Box 11">
              <controlPr defaultSize="0" autoFill="0" autoLine="0" autoPict="0">
                <anchor moveWithCells="1">
                  <from>
                    <xdr:col>2</xdr:col>
                    <xdr:colOff>9525</xdr:colOff>
                    <xdr:row>160</xdr:row>
                    <xdr:rowOff>171450</xdr:rowOff>
                  </from>
                  <to>
                    <xdr:col>2</xdr:col>
                    <xdr:colOff>742950</xdr:colOff>
                    <xdr:row>162</xdr:row>
                    <xdr:rowOff>28575</xdr:rowOff>
                  </to>
                </anchor>
              </controlPr>
            </control>
          </mc:Choice>
        </mc:AlternateContent>
        <mc:AlternateContent xmlns:mc="http://schemas.openxmlformats.org/markup-compatibility/2006">
          <mc:Choice Requires="x14">
            <control shapeId="20492" r:id="rId15" name="Check Box 12">
              <controlPr defaultSize="0" autoFill="0" autoLine="0" autoPict="0">
                <anchor moveWithCells="1">
                  <from>
                    <xdr:col>2</xdr:col>
                    <xdr:colOff>19050</xdr:colOff>
                    <xdr:row>162</xdr:row>
                    <xdr:rowOff>171450</xdr:rowOff>
                  </from>
                  <to>
                    <xdr:col>2</xdr:col>
                    <xdr:colOff>752475</xdr:colOff>
                    <xdr:row>164</xdr:row>
                    <xdr:rowOff>28575</xdr:rowOff>
                  </to>
                </anchor>
              </controlPr>
            </control>
          </mc:Choice>
        </mc:AlternateContent>
        <mc:AlternateContent xmlns:mc="http://schemas.openxmlformats.org/markup-compatibility/2006">
          <mc:Choice Requires="x14">
            <control shapeId="20493" r:id="rId16" name="Check Box 13">
              <controlPr defaultSize="0" autoFill="0" autoLine="0" autoPict="0">
                <anchor moveWithCells="1">
                  <from>
                    <xdr:col>2</xdr:col>
                    <xdr:colOff>19050</xdr:colOff>
                    <xdr:row>164</xdr:row>
                    <xdr:rowOff>171450</xdr:rowOff>
                  </from>
                  <to>
                    <xdr:col>2</xdr:col>
                    <xdr:colOff>752475</xdr:colOff>
                    <xdr:row>166</xdr:row>
                    <xdr:rowOff>28575</xdr:rowOff>
                  </to>
                </anchor>
              </controlPr>
            </control>
          </mc:Choice>
        </mc:AlternateContent>
        <mc:AlternateContent xmlns:mc="http://schemas.openxmlformats.org/markup-compatibility/2006">
          <mc:Choice Requires="x14">
            <control shapeId="20494" r:id="rId17" name="Check Box 14">
              <controlPr defaultSize="0" autoFill="0" autoLine="0" autoPict="0">
                <anchor moveWithCells="1">
                  <from>
                    <xdr:col>2</xdr:col>
                    <xdr:colOff>9525</xdr:colOff>
                    <xdr:row>166</xdr:row>
                    <xdr:rowOff>171450</xdr:rowOff>
                  </from>
                  <to>
                    <xdr:col>2</xdr:col>
                    <xdr:colOff>742950</xdr:colOff>
                    <xdr:row>168</xdr:row>
                    <xdr:rowOff>28575</xdr:rowOff>
                  </to>
                </anchor>
              </controlPr>
            </control>
          </mc:Choice>
        </mc:AlternateContent>
        <mc:AlternateContent xmlns:mc="http://schemas.openxmlformats.org/markup-compatibility/2006">
          <mc:Choice Requires="x14">
            <control shapeId="20495" r:id="rId18" name="Check Box 15">
              <controlPr defaultSize="0" autoFill="0" autoLine="0" autoPict="0">
                <anchor moveWithCells="1">
                  <from>
                    <xdr:col>2</xdr:col>
                    <xdr:colOff>9525</xdr:colOff>
                    <xdr:row>168</xdr:row>
                    <xdr:rowOff>171450</xdr:rowOff>
                  </from>
                  <to>
                    <xdr:col>2</xdr:col>
                    <xdr:colOff>742950</xdr:colOff>
                    <xdr:row>170</xdr:row>
                    <xdr:rowOff>28575</xdr:rowOff>
                  </to>
                </anchor>
              </controlPr>
            </control>
          </mc:Choice>
        </mc:AlternateContent>
        <mc:AlternateContent xmlns:mc="http://schemas.openxmlformats.org/markup-compatibility/2006">
          <mc:Choice Requires="x14">
            <control shapeId="20496" r:id="rId19" name="Check Box 16">
              <controlPr defaultSize="0" autoFill="0" autoLine="0" autoPict="0">
                <anchor moveWithCells="1">
                  <from>
                    <xdr:col>2</xdr:col>
                    <xdr:colOff>19050</xdr:colOff>
                    <xdr:row>170</xdr:row>
                    <xdr:rowOff>171450</xdr:rowOff>
                  </from>
                  <to>
                    <xdr:col>2</xdr:col>
                    <xdr:colOff>752475</xdr:colOff>
                    <xdr:row>172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3:K46"/>
  <sheetViews>
    <sheetView view="pageBreakPreview" topLeftCell="A7" zoomScale="115" zoomScaleNormal="100" zoomScaleSheetLayoutView="115" workbookViewId="0">
      <selection activeCell="M29" sqref="M29"/>
    </sheetView>
  </sheetViews>
  <sheetFormatPr defaultRowHeight="15" x14ac:dyDescent="0.25"/>
  <cols>
    <col min="1" max="1" width="4.7109375" customWidth="1"/>
  </cols>
  <sheetData>
    <row r="3" spans="1:11" ht="25.5" x14ac:dyDescent="0.25">
      <c r="A3" s="416" t="s">
        <v>298</v>
      </c>
      <c r="B3" s="416"/>
      <c r="C3" s="416"/>
      <c r="D3" s="416"/>
      <c r="E3" s="416"/>
      <c r="F3" s="416"/>
      <c r="G3" s="416"/>
      <c r="H3" s="416"/>
      <c r="I3" s="416"/>
      <c r="J3" s="416"/>
      <c r="K3" s="416"/>
    </row>
    <row r="4" spans="1:11" ht="22.5" x14ac:dyDescent="0.25">
      <c r="A4" s="417" t="s">
        <v>537</v>
      </c>
      <c r="B4" s="417"/>
      <c r="C4" s="417"/>
      <c r="D4" s="417"/>
      <c r="E4" s="417"/>
      <c r="F4" s="417"/>
      <c r="G4" s="417"/>
      <c r="H4" s="417"/>
      <c r="I4" s="417"/>
      <c r="J4" s="417"/>
      <c r="K4" s="417"/>
    </row>
    <row r="6" spans="1:11" ht="20.25" x14ac:dyDescent="0.25">
      <c r="A6" s="418" t="str">
        <f>'DE (Tentative)'!B8</f>
        <v>Client</v>
      </c>
      <c r="B6" s="418"/>
      <c r="C6" s="418"/>
      <c r="D6" s="418"/>
      <c r="E6" s="418"/>
      <c r="F6" s="418"/>
      <c r="G6" s="418"/>
      <c r="H6" s="418"/>
      <c r="I6" s="418"/>
      <c r="J6" s="418"/>
      <c r="K6" s="418"/>
    </row>
    <row r="7" spans="1:11" ht="21" x14ac:dyDescent="0.25">
      <c r="A7" s="419" t="str">
        <f>'DE (Tentative)'!C8</f>
        <v>Mr. Ram Bahadur Khatri</v>
      </c>
      <c r="B7" s="419"/>
      <c r="C7" s="419"/>
      <c r="D7" s="419"/>
      <c r="E7" s="419"/>
      <c r="F7" s="419"/>
      <c r="G7" s="419"/>
      <c r="H7" s="419"/>
      <c r="I7" s="419"/>
      <c r="J7" s="419"/>
      <c r="K7" s="419"/>
    </row>
    <row r="8" spans="1:11" x14ac:dyDescent="0.25">
      <c r="A8" s="377" t="str">
        <f>'DE (Final)'!C17&amp;"-"&amp;'DE (Final)'!C16</f>
        <v>Jiri Municipality-2</v>
      </c>
      <c r="B8" s="377"/>
      <c r="C8" s="377"/>
      <c r="D8" s="377"/>
      <c r="E8" s="377"/>
      <c r="F8" s="377"/>
      <c r="G8" s="377"/>
      <c r="H8" s="377"/>
      <c r="I8" s="377"/>
      <c r="J8" s="377"/>
      <c r="K8" s="377"/>
    </row>
    <row r="9" spans="1:11" x14ac:dyDescent="0.25">
      <c r="A9" s="377" t="str">
        <f>'DE (Final)'!C18&amp;" "&amp;'DE (Final)'!B18&amp;", Nepal"</f>
        <v>Dolakha District, Nepal</v>
      </c>
      <c r="B9" s="377"/>
      <c r="C9" s="377"/>
      <c r="D9" s="377"/>
      <c r="E9" s="377"/>
      <c r="F9" s="377"/>
      <c r="G9" s="377"/>
      <c r="H9" s="377"/>
      <c r="I9" s="377"/>
      <c r="J9" s="377"/>
      <c r="K9" s="377"/>
    </row>
    <row r="10" spans="1:11" x14ac:dyDescent="0.25">
      <c r="A10" s="377" t="str">
        <f>"Contact No: "&amp;'DE (Final)'!C24</f>
        <v>Contact No: 9765014537</v>
      </c>
      <c r="B10" s="377"/>
      <c r="C10" s="377"/>
      <c r="D10" s="377"/>
      <c r="E10" s="377"/>
      <c r="F10" s="377"/>
      <c r="G10" s="377"/>
      <c r="H10" s="377"/>
      <c r="I10" s="377"/>
      <c r="J10" s="377"/>
      <c r="K10" s="377"/>
    </row>
    <row r="12" spans="1:11" ht="20.25" x14ac:dyDescent="0.25">
      <c r="A12" s="418" t="s">
        <v>299</v>
      </c>
      <c r="B12" s="418"/>
      <c r="C12" s="418"/>
      <c r="D12" s="418"/>
      <c r="E12" s="418"/>
      <c r="F12" s="418"/>
      <c r="G12" s="418"/>
      <c r="H12" s="418"/>
      <c r="I12" s="418"/>
      <c r="J12" s="418"/>
      <c r="K12" s="418"/>
    </row>
    <row r="13" spans="1:11" x14ac:dyDescent="0.25">
      <c r="A13" s="415" t="s">
        <v>300</v>
      </c>
      <c r="B13" s="415"/>
      <c r="C13" s="415"/>
      <c r="D13" s="415"/>
      <c r="E13" s="415"/>
      <c r="F13" s="415"/>
      <c r="G13" s="415"/>
      <c r="H13" s="415"/>
      <c r="I13" s="415"/>
      <c r="J13" s="415"/>
      <c r="K13" s="415"/>
    </row>
    <row r="14" spans="1:11" x14ac:dyDescent="0.25">
      <c r="A14" s="387" t="s">
        <v>301</v>
      </c>
      <c r="B14" s="387"/>
      <c r="C14" s="387"/>
      <c r="D14" s="387"/>
      <c r="E14" s="387"/>
      <c r="F14" s="387"/>
      <c r="G14" s="420">
        <f>'DE (Final)'!C81</f>
        <v>298</v>
      </c>
      <c r="H14" s="420"/>
      <c r="I14" s="420"/>
      <c r="J14" s="420"/>
      <c r="K14" s="420"/>
    </row>
    <row r="15" spans="1:11" x14ac:dyDescent="0.25">
      <c r="A15" s="377" t="str">
        <f>'DE (Tentative)'!C37</f>
        <v>Gokarneshwor Municipality-6 (Sabik Jorpati VDC-4), Kathmandu District</v>
      </c>
      <c r="B15" s="377"/>
      <c r="C15" s="377"/>
      <c r="D15" s="377"/>
      <c r="E15" s="377"/>
      <c r="F15" s="377"/>
      <c r="G15" s="377"/>
      <c r="H15" s="377"/>
      <c r="I15" s="377"/>
      <c r="J15" s="377"/>
      <c r="K15" s="377"/>
    </row>
    <row r="16" spans="1:11" x14ac:dyDescent="0.25">
      <c r="A16" s="377" t="str">
        <f>'DE (Final)'!C85&amp;" "&amp;'DE (Final)'!B85</f>
        <v>Jorpati VDC Sabik</v>
      </c>
      <c r="B16" s="377"/>
      <c r="C16" s="377"/>
      <c r="D16" s="377"/>
      <c r="E16" s="377"/>
      <c r="F16" s="377"/>
      <c r="G16" s="377"/>
      <c r="H16" s="377"/>
      <c r="I16" s="377"/>
      <c r="J16" s="377"/>
      <c r="K16" s="377"/>
    </row>
    <row r="18" spans="1:11" ht="20.25" x14ac:dyDescent="0.25">
      <c r="A18" s="418" t="str">
        <f>'DE (Final)'!E14</f>
        <v>Owner 1</v>
      </c>
      <c r="B18" s="418"/>
      <c r="C18" s="418"/>
      <c r="D18" s="418"/>
      <c r="E18" s="418"/>
      <c r="F18" s="418"/>
      <c r="G18" s="418"/>
      <c r="H18" s="418"/>
      <c r="I18" s="418"/>
      <c r="J18" s="418"/>
      <c r="K18" s="418"/>
    </row>
    <row r="19" spans="1:11" ht="21" x14ac:dyDescent="0.25">
      <c r="A19" s="419" t="str">
        <f>'DE (Final)'!F14</f>
        <v>Mr. Ram Bahadur Khatri</v>
      </c>
      <c r="B19" s="419"/>
      <c r="C19" s="419"/>
      <c r="D19" s="419"/>
      <c r="E19" s="419"/>
      <c r="F19" s="419"/>
      <c r="G19" s="419"/>
      <c r="H19" s="419"/>
      <c r="I19" s="419"/>
      <c r="J19" s="419"/>
      <c r="K19" s="419"/>
    </row>
    <row r="20" spans="1:11" x14ac:dyDescent="0.25">
      <c r="A20" s="377" t="str">
        <f>'DE (Final)'!F17&amp;"-"&amp;'DE (Final)'!F16</f>
        <v>Jiri Municipality-2</v>
      </c>
      <c r="B20" s="377"/>
      <c r="C20" s="377"/>
      <c r="D20" s="377"/>
      <c r="E20" s="377"/>
      <c r="F20" s="377"/>
      <c r="G20" s="377"/>
      <c r="H20" s="377"/>
      <c r="I20" s="377"/>
      <c r="J20" s="377"/>
      <c r="K20" s="377"/>
    </row>
    <row r="21" spans="1:11" x14ac:dyDescent="0.25">
      <c r="A21" s="377" t="str">
        <f>'DE (Final)'!F18&amp;" "&amp;'DE (Final)'!E18&amp;", Nepal"</f>
        <v>Dolakha District, Nepal</v>
      </c>
      <c r="B21" s="377"/>
      <c r="C21" s="377"/>
      <c r="D21" s="377"/>
      <c r="E21" s="377"/>
      <c r="F21" s="377"/>
      <c r="G21" s="377"/>
      <c r="H21" s="377"/>
      <c r="I21" s="377"/>
      <c r="J21" s="377"/>
      <c r="K21" s="377"/>
    </row>
    <row r="22" spans="1:11" x14ac:dyDescent="0.25">
      <c r="A22" s="377" t="str">
        <f>"Contact No: "&amp;'DE (Final)'!F24</f>
        <v>Contact No: 9765014537</v>
      </c>
      <c r="B22" s="377"/>
      <c r="C22" s="377"/>
      <c r="D22" s="377"/>
      <c r="E22" s="377"/>
      <c r="F22" s="377"/>
      <c r="G22" s="377"/>
      <c r="H22" s="377"/>
      <c r="I22" s="377"/>
      <c r="J22" s="377"/>
      <c r="K22" s="377"/>
    </row>
    <row r="24" spans="1:11" ht="20.25" x14ac:dyDescent="0.25">
      <c r="A24" s="418" t="s">
        <v>302</v>
      </c>
      <c r="B24" s="418"/>
      <c r="C24" s="418"/>
      <c r="D24" s="418"/>
      <c r="E24" s="418"/>
      <c r="F24" s="418"/>
      <c r="G24" s="418"/>
      <c r="H24" s="418"/>
      <c r="I24" s="418"/>
      <c r="J24" s="418"/>
      <c r="K24" s="418"/>
    </row>
    <row r="25" spans="1:11" ht="12.75" customHeight="1" x14ac:dyDescent="0.25">
      <c r="A25" s="169"/>
      <c r="B25" s="169"/>
      <c r="C25" s="169"/>
      <c r="D25" s="169"/>
      <c r="E25" s="169"/>
      <c r="F25" s="169"/>
      <c r="G25" s="169"/>
      <c r="H25" s="169"/>
      <c r="I25" s="169"/>
      <c r="J25" s="169"/>
      <c r="K25" s="169"/>
    </row>
    <row r="26" spans="1:11" ht="18.75" x14ac:dyDescent="0.3">
      <c r="A26" s="421" t="s">
        <v>303</v>
      </c>
      <c r="B26" s="421"/>
      <c r="C26" s="421"/>
      <c r="D26" s="421"/>
      <c r="E26" s="421"/>
      <c r="F26" s="421"/>
      <c r="G26" s="421"/>
      <c r="H26" s="421"/>
      <c r="I26" s="421"/>
      <c r="J26" s="421"/>
      <c r="K26" s="421"/>
    </row>
    <row r="27" spans="1:11" x14ac:dyDescent="0.25">
      <c r="A27" s="377" t="str">
        <f>LEFT('DE (Final)'!F9,FIND(",",'DE (Final)'!F9)-1) &amp; " Branch"</f>
        <v>Jorpati Branch</v>
      </c>
      <c r="B27" s="377"/>
      <c r="C27" s="377"/>
      <c r="D27" s="377"/>
      <c r="E27" s="377"/>
      <c r="F27" s="377"/>
      <c r="G27" s="377"/>
      <c r="H27" s="377"/>
      <c r="I27" s="377"/>
      <c r="J27" s="377"/>
      <c r="K27" s="377"/>
    </row>
    <row r="29" spans="1:11" ht="15.75" x14ac:dyDescent="0.25">
      <c r="A29" s="423" t="str">
        <f>"Fair Market Value of the Land &amp; Building: NRs. "&amp;TEXT(Letterhead!J36,"#,##0.00")</f>
        <v>Fair Market Value of the Land &amp; Building: NRs. 7,318,000.00</v>
      </c>
      <c r="B29" s="423"/>
      <c r="C29" s="423"/>
      <c r="D29" s="423"/>
      <c r="E29" s="423"/>
      <c r="F29" s="423"/>
      <c r="G29" s="423"/>
      <c r="H29" s="423"/>
      <c r="I29" s="423"/>
      <c r="J29" s="423"/>
      <c r="K29" s="423"/>
    </row>
    <row r="31" spans="1:11" ht="22.5" x14ac:dyDescent="0.25">
      <c r="A31" s="424" t="s">
        <v>306</v>
      </c>
      <c r="B31" s="424"/>
      <c r="C31" s="424"/>
      <c r="D31" s="424"/>
      <c r="E31" s="424"/>
      <c r="F31" s="424"/>
      <c r="G31" s="424"/>
      <c r="H31" s="424"/>
      <c r="I31" s="424"/>
      <c r="J31" s="424"/>
      <c r="K31" s="424"/>
    </row>
    <row r="39" spans="1:11" x14ac:dyDescent="0.25">
      <c r="A39" s="377" t="s">
        <v>307</v>
      </c>
      <c r="B39" s="377"/>
      <c r="C39" s="377"/>
      <c r="D39" s="377"/>
      <c r="E39" s="377"/>
      <c r="F39" s="377"/>
      <c r="G39" s="377"/>
      <c r="H39" s="377"/>
      <c r="I39" s="377"/>
      <c r="J39" s="377"/>
      <c r="K39" s="377"/>
    </row>
    <row r="40" spans="1:11" x14ac:dyDescent="0.25">
      <c r="A40" s="377" t="s">
        <v>308</v>
      </c>
      <c r="B40" s="377"/>
      <c r="C40" s="377"/>
      <c r="D40" s="377"/>
      <c r="E40" s="377"/>
      <c r="F40" s="377"/>
      <c r="G40" s="377"/>
      <c r="H40" s="377"/>
      <c r="I40" s="377"/>
      <c r="J40" s="377"/>
      <c r="K40" s="377"/>
    </row>
    <row r="41" spans="1:11" x14ac:dyDescent="0.25">
      <c r="A41" s="377" t="s">
        <v>309</v>
      </c>
      <c r="B41" s="377"/>
      <c r="C41" s="377"/>
      <c r="D41" s="377"/>
      <c r="E41" s="377"/>
      <c r="F41" s="377"/>
      <c r="G41" s="377"/>
      <c r="H41" s="377"/>
      <c r="I41" s="377"/>
      <c r="J41" s="377"/>
      <c r="K41" s="377"/>
    </row>
    <row r="42" spans="1:11" x14ac:dyDescent="0.25">
      <c r="A42" s="425" t="s">
        <v>310</v>
      </c>
      <c r="B42" s="377"/>
      <c r="C42" s="377"/>
      <c r="D42" s="377"/>
      <c r="E42" s="377"/>
      <c r="F42" s="377"/>
      <c r="G42" s="377"/>
      <c r="H42" s="377"/>
      <c r="I42" s="377"/>
      <c r="J42" s="377"/>
      <c r="K42" s="377"/>
    </row>
    <row r="43" spans="1:11" x14ac:dyDescent="0.25">
      <c r="A43" s="377" t="s">
        <v>311</v>
      </c>
      <c r="B43" s="377"/>
      <c r="C43" s="377"/>
      <c r="D43" s="377"/>
      <c r="E43" s="377"/>
      <c r="F43" s="377"/>
      <c r="G43" s="377"/>
      <c r="H43" s="377"/>
      <c r="I43" s="377"/>
      <c r="J43" s="377"/>
      <c r="K43" s="377"/>
    </row>
    <row r="44" spans="1:11" x14ac:dyDescent="0.25">
      <c r="A44" s="190"/>
      <c r="B44" s="190"/>
      <c r="C44" s="190"/>
      <c r="D44" s="190"/>
      <c r="E44" s="190"/>
      <c r="F44" s="190"/>
      <c r="G44" s="190"/>
      <c r="H44" s="190"/>
      <c r="I44" s="190"/>
      <c r="J44" s="190"/>
      <c r="K44" s="190"/>
    </row>
    <row r="46" spans="1:11" ht="23.25" x14ac:dyDescent="0.35">
      <c r="A46" s="422" t="str" cm="1">
        <f t="array" ref="A46">TEXT('DE (Final)'!F4,"mmm dd, yyyy") &amp; " / " &amp; AD2BS('DE (Final)'!F4)</f>
        <v>May 05, 2026 / Baisakh 22, 2083</v>
      </c>
      <c r="B46" s="422"/>
      <c r="C46" s="422"/>
      <c r="D46" s="422"/>
      <c r="E46" s="422"/>
      <c r="F46" s="422"/>
      <c r="G46" s="422"/>
      <c r="H46" s="422"/>
      <c r="I46" s="422"/>
      <c r="J46" s="422"/>
      <c r="K46" s="422"/>
    </row>
  </sheetData>
  <mergeCells count="29">
    <mergeCell ref="A43:K43"/>
    <mergeCell ref="A46:K46"/>
    <mergeCell ref="A29:K29"/>
    <mergeCell ref="A31:K31"/>
    <mergeCell ref="A39:K39"/>
    <mergeCell ref="A40:K40"/>
    <mergeCell ref="A41:K41"/>
    <mergeCell ref="A42:K42"/>
    <mergeCell ref="A27:K27"/>
    <mergeCell ref="A14:F14"/>
    <mergeCell ref="G14:K14"/>
    <mergeCell ref="A15:K15"/>
    <mergeCell ref="A16:K16"/>
    <mergeCell ref="A18:K18"/>
    <mergeCell ref="A19:K19"/>
    <mergeCell ref="A20:K20"/>
    <mergeCell ref="A21:K21"/>
    <mergeCell ref="A22:K22"/>
    <mergeCell ref="A24:K24"/>
    <mergeCell ref="A26:K26"/>
    <mergeCell ref="A13:K13"/>
    <mergeCell ref="A3:K3"/>
    <mergeCell ref="A4:K4"/>
    <mergeCell ref="A6:K6"/>
    <mergeCell ref="A7:K7"/>
    <mergeCell ref="A8:K8"/>
    <mergeCell ref="A9:K9"/>
    <mergeCell ref="A10:K10"/>
    <mergeCell ref="A12:K12"/>
  </mergeCells>
  <hyperlinks>
    <hyperlink ref="A42" r:id="rId1"/>
  </hyperlinks>
  <printOptions horizontalCentered="1" verticalCentered="1"/>
  <pageMargins left="0.70866141732283505" right="0.45866141700000002" top="0.74803149606299202" bottom="0.74803149606299202" header="0.31496062992126" footer="0.31496062992126"/>
  <pageSetup scale="92" orientation="portrait" r:id="rId2"/>
  <headerFooter>
    <oddFooter>&amp;R&amp;G</oddFooter>
  </headerFooter>
  <rowBreaks count="1" manualBreakCount="1">
    <brk id="46" max="11" man="1"/>
  </rowBreak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sheetPr>
  <dimension ref="A7:T47"/>
  <sheetViews>
    <sheetView tabSelected="1" view="pageBreakPreview" topLeftCell="A25" zoomScale="115" zoomScaleNormal="100" zoomScaleSheetLayoutView="115" workbookViewId="0">
      <selection activeCell="N42" sqref="N42"/>
    </sheetView>
  </sheetViews>
  <sheetFormatPr defaultColWidth="9.140625" defaultRowHeight="15" x14ac:dyDescent="0.25"/>
  <cols>
    <col min="1" max="1" width="4.7109375" style="96" customWidth="1"/>
    <col min="2" max="2" width="4.85546875" style="96" customWidth="1"/>
    <col min="3" max="3" width="9.140625" style="96"/>
    <col min="4" max="4" width="13.7109375" style="96" customWidth="1"/>
    <col min="5" max="5" width="5.28515625" style="96" customWidth="1"/>
    <col min="6" max="6" width="9.140625" style="96"/>
    <col min="7" max="7" width="11.140625" style="96" customWidth="1"/>
    <col min="8" max="8" width="7.7109375" style="96" customWidth="1"/>
    <col min="9" max="9" width="7.5703125" style="96" customWidth="1"/>
    <col min="10" max="10" width="9.140625" style="96"/>
    <col min="11" max="11" width="11.7109375" style="96" customWidth="1"/>
    <col min="12" max="12" width="4" style="96" customWidth="1"/>
    <col min="13" max="13" width="9.140625" style="96"/>
    <col min="14" max="14" width="12.7109375" style="96" bestFit="1" customWidth="1"/>
    <col min="15" max="16384" width="9.140625" style="96"/>
  </cols>
  <sheetData>
    <row r="7" spans="1:12" x14ac:dyDescent="0.25">
      <c r="B7" s="447" t="s">
        <v>312</v>
      </c>
      <c r="C7" s="447"/>
      <c r="E7" s="96" t="str">
        <f ca="1">'DE (Final)'!C4&amp;"/ADBL"</f>
        <v>2082/83/ADBL</v>
      </c>
    </row>
    <row r="8" spans="1:12" x14ac:dyDescent="0.25">
      <c r="H8" s="303" t="s">
        <v>541</v>
      </c>
      <c r="I8" s="96" t="str" cm="1">
        <f t="array" ref="I8">TEXT('DE (Final)'!F4,"mmm dd, yyyy") &amp; "/" &amp; AD2BS('DE (Final)'!F4)</f>
        <v>May 05, 2026/Baisakh 22, 2083</v>
      </c>
    </row>
    <row r="9" spans="1:12" x14ac:dyDescent="0.25">
      <c r="B9" s="96" t="s">
        <v>313</v>
      </c>
    </row>
    <row r="10" spans="1:12" x14ac:dyDescent="0.25">
      <c r="B10" s="96" t="s">
        <v>314</v>
      </c>
    </row>
    <row r="11" spans="1:12" x14ac:dyDescent="0.25">
      <c r="B11" s="96" t="s">
        <v>315</v>
      </c>
    </row>
    <row r="12" spans="1:12" x14ac:dyDescent="0.25">
      <c r="B12" s="96" t="str">
        <f>"Banking Branch Office "&amp;'DE (Final)'!F9</f>
        <v>Banking Branch Office Jorpati, Kathmandu</v>
      </c>
    </row>
    <row r="14" spans="1:12" x14ac:dyDescent="0.25">
      <c r="B14" s="96" t="s">
        <v>316</v>
      </c>
    </row>
    <row r="15" spans="1:12" ht="17.45" customHeight="1" x14ac:dyDescent="0.25">
      <c r="A15" s="450" t="s">
        <v>317</v>
      </c>
      <c r="B15" s="450"/>
      <c r="C15" s="450"/>
      <c r="D15" s="450"/>
      <c r="E15" s="450"/>
      <c r="F15" s="450"/>
      <c r="G15" s="450"/>
      <c r="H15" s="450"/>
      <c r="I15" s="450"/>
      <c r="J15" s="450"/>
      <c r="K15" s="450"/>
      <c r="L15" s="450"/>
    </row>
    <row r="16" spans="1:12" x14ac:dyDescent="0.25">
      <c r="B16" s="451" t="s">
        <v>318</v>
      </c>
      <c r="C16" s="451"/>
      <c r="D16" s="451"/>
      <c r="E16" s="451"/>
      <c r="F16" s="451"/>
      <c r="G16" s="451"/>
      <c r="H16" s="451"/>
      <c r="I16" s="451"/>
      <c r="J16" s="451"/>
      <c r="K16" s="451"/>
    </row>
    <row r="17" spans="2:20" x14ac:dyDescent="0.25">
      <c r="B17" s="451"/>
      <c r="C17" s="451"/>
      <c r="D17" s="451"/>
      <c r="E17" s="451"/>
      <c r="F17" s="451"/>
      <c r="G17" s="451"/>
      <c r="H17" s="451"/>
      <c r="I17" s="451"/>
      <c r="J17" s="451"/>
      <c r="K17" s="451"/>
    </row>
    <row r="18" spans="2:20" x14ac:dyDescent="0.25">
      <c r="B18" s="447" t="str">
        <f>'DE (Final)'!B14</f>
        <v>Client</v>
      </c>
      <c r="C18" s="447"/>
      <c r="D18" s="447"/>
      <c r="E18" s="448" t="str">
        <f>'DE (Final)'!C14</f>
        <v>Mr. Ram Bahadur Khatri</v>
      </c>
      <c r="F18" s="448"/>
      <c r="G18" s="448"/>
      <c r="H18" s="448"/>
      <c r="I18" s="448"/>
      <c r="J18" s="448"/>
      <c r="K18" s="448"/>
      <c r="L18" s="448"/>
    </row>
    <row r="19" spans="2:20" x14ac:dyDescent="0.25">
      <c r="B19" s="447" t="s">
        <v>319</v>
      </c>
      <c r="C19" s="447"/>
      <c r="D19" s="447"/>
      <c r="E19" s="448" t="str">
        <f>"Ward No. "&amp;'DE (Final)'!C16&amp;", "&amp;'DE (Final)'!C17&amp;", "&amp;'DE (Final)'!C18&amp;" "&amp;'DE (Final)'!B18&amp;", Nepal"</f>
        <v>Ward No. 2, Jiri Municipality, Dolakha District, Nepal</v>
      </c>
      <c r="F19" s="448"/>
      <c r="G19" s="448"/>
      <c r="H19" s="448"/>
      <c r="I19" s="448"/>
      <c r="J19" s="448"/>
      <c r="K19" s="448"/>
      <c r="L19" s="448"/>
    </row>
    <row r="21" spans="2:20" x14ac:dyDescent="0.25">
      <c r="B21" s="96" t="s">
        <v>320</v>
      </c>
    </row>
    <row r="22" spans="2:20" x14ac:dyDescent="0.25">
      <c r="B22" s="211" t="s">
        <v>321</v>
      </c>
      <c r="C22" s="96" t="str">
        <f>"We have physically inspected, verified &amp; measured the properties on "
&amp;TEXT('DE (Tentative)'!C4,"mmm dd, yyyy")&amp;"."</f>
        <v>We have physically inspected, verified &amp; measured the properties on Apr 30, 2026.</v>
      </c>
    </row>
    <row r="23" spans="2:20" x14ac:dyDescent="0.25">
      <c r="B23" s="211" t="s">
        <v>322</v>
      </c>
      <c r="C23" s="96" t="s">
        <v>323</v>
      </c>
    </row>
    <row r="24" spans="2:20" x14ac:dyDescent="0.25">
      <c r="B24" s="211" t="s">
        <v>324</v>
      </c>
      <c r="C24" s="96" t="s">
        <v>327</v>
      </c>
    </row>
    <row r="25" spans="2:20" x14ac:dyDescent="0.25">
      <c r="B25" s="211" t="s">
        <v>325</v>
      </c>
      <c r="C25" s="449" t="s">
        <v>326</v>
      </c>
      <c r="D25" s="449"/>
      <c r="E25" s="449"/>
      <c r="F25" s="449"/>
      <c r="G25" s="449"/>
      <c r="H25" s="449"/>
      <c r="I25" s="449"/>
      <c r="J25" s="449"/>
      <c r="K25" s="449"/>
    </row>
    <row r="26" spans="2:20" x14ac:dyDescent="0.25">
      <c r="C26" s="449"/>
      <c r="D26" s="449"/>
      <c r="E26" s="449"/>
      <c r="F26" s="449"/>
      <c r="G26" s="449"/>
      <c r="H26" s="449"/>
      <c r="I26" s="449"/>
      <c r="J26" s="449"/>
      <c r="K26" s="449"/>
    </row>
    <row r="27" spans="2:20" x14ac:dyDescent="0.25">
      <c r="B27" s="211" t="s">
        <v>328</v>
      </c>
      <c r="C27" s="96" t="s">
        <v>329</v>
      </c>
    </row>
    <row r="28" spans="2:20" ht="9" customHeight="1" x14ac:dyDescent="0.25"/>
    <row r="29" spans="2:20" ht="18" customHeight="1" x14ac:dyDescent="0.25">
      <c r="B29" s="426" t="s">
        <v>166</v>
      </c>
      <c r="C29" s="426" t="s">
        <v>175</v>
      </c>
      <c r="D29" s="426" t="s">
        <v>176</v>
      </c>
      <c r="E29" s="426" t="s">
        <v>251</v>
      </c>
      <c r="F29" s="426"/>
      <c r="G29" s="426"/>
      <c r="H29" s="427"/>
      <c r="I29" s="426" t="s">
        <v>177</v>
      </c>
      <c r="J29" s="426"/>
      <c r="K29" s="426"/>
      <c r="L29" s="208"/>
    </row>
    <row r="30" spans="2:20" ht="36" x14ac:dyDescent="0.25">
      <c r="B30" s="426"/>
      <c r="C30" s="426"/>
      <c r="D30" s="426"/>
      <c r="E30" s="130" t="s">
        <v>20</v>
      </c>
      <c r="F30" s="130" t="s">
        <v>96</v>
      </c>
      <c r="G30" s="130" t="s">
        <v>183</v>
      </c>
      <c r="H30" s="103" t="s">
        <v>2</v>
      </c>
      <c r="I30" s="130" t="s">
        <v>178</v>
      </c>
      <c r="J30" s="130" t="s">
        <v>462</v>
      </c>
      <c r="K30" s="130" t="s">
        <v>2</v>
      </c>
      <c r="L30" s="208"/>
      <c r="T30" s="169"/>
    </row>
    <row r="31" spans="2:20" ht="27.6" customHeight="1" x14ac:dyDescent="0.25">
      <c r="B31" s="433">
        <v>1</v>
      </c>
      <c r="C31" s="434" t="str">
        <f>'DE (Final)'!F14&amp;" &amp; "&amp;'DE (Final)'!F27</f>
        <v>Mr. Ram Bahadur Khatri &amp; Mrs. Saru Khatri</v>
      </c>
      <c r="D31" s="433" t="str">
        <f>'DE (Final)'!C87</f>
        <v>Gokarneshwor Municipality-6 (Sabik Jorpati VDC-4), Kathmandu District</v>
      </c>
      <c r="E31" s="433">
        <f>'DE (Final)'!C81</f>
        <v>298</v>
      </c>
      <c r="F31" s="156">
        <f>summary!I10</f>
        <v>95.39</v>
      </c>
      <c r="G31" s="156">
        <f>summary!I11</f>
        <v>94.090201460381735</v>
      </c>
      <c r="H31" s="435">
        <f>val!H21</f>
        <v>7318000</v>
      </c>
      <c r="I31" s="433" t="s">
        <v>179</v>
      </c>
      <c r="J31" s="436" t="s">
        <v>536</v>
      </c>
      <c r="K31" s="438" t="str">
        <f>val!H22</f>
        <v>-</v>
      </c>
      <c r="L31" s="208"/>
      <c r="T31" s="170"/>
    </row>
    <row r="32" spans="2:20" ht="26.45" customHeight="1" x14ac:dyDescent="0.25">
      <c r="B32" s="433"/>
      <c r="C32" s="433"/>
      <c r="D32" s="433"/>
      <c r="E32" s="433"/>
      <c r="F32" s="439" t="s">
        <v>155</v>
      </c>
      <c r="G32" s="440"/>
      <c r="H32" s="435"/>
      <c r="I32" s="433"/>
      <c r="J32" s="437"/>
      <c r="K32" s="438"/>
      <c r="T32" s="209"/>
    </row>
    <row r="33" spans="2:20" ht="25.9" customHeight="1" x14ac:dyDescent="0.25">
      <c r="B33" s="433"/>
      <c r="C33" s="433"/>
      <c r="D33" s="433"/>
      <c r="E33" s="433"/>
      <c r="F33" s="441">
        <f>summary!I13</f>
        <v>81.007232703739575</v>
      </c>
      <c r="G33" s="442"/>
      <c r="H33" s="435"/>
      <c r="I33" s="433"/>
      <c r="J33" s="437"/>
      <c r="K33" s="438"/>
      <c r="N33" s="210"/>
      <c r="O33" s="210"/>
      <c r="T33" s="209"/>
    </row>
    <row r="34" spans="2:20" ht="15.75" x14ac:dyDescent="0.25">
      <c r="B34" s="443" t="str">
        <f>"Sheet No: "&amp;'DE (Final)'!C96</f>
        <v>Sheet No: 102102919</v>
      </c>
      <c r="C34" s="444"/>
      <c r="D34" s="444"/>
      <c r="E34" s="444"/>
      <c r="F34" s="444"/>
      <c r="G34" s="444"/>
      <c r="H34" s="444"/>
      <c r="I34" s="101" t="s">
        <v>172</v>
      </c>
      <c r="J34" s="101" t="s">
        <v>173</v>
      </c>
      <c r="K34" s="101" t="s">
        <v>174</v>
      </c>
      <c r="T34" s="171"/>
    </row>
    <row r="35" spans="2:20" x14ac:dyDescent="0.25">
      <c r="B35" s="445"/>
      <c r="C35" s="446"/>
      <c r="D35" s="446"/>
      <c r="E35" s="446"/>
      <c r="F35" s="446"/>
      <c r="G35" s="446"/>
      <c r="H35" s="446"/>
      <c r="I35" s="265" t="s">
        <v>536</v>
      </c>
      <c r="J35" s="266" t="s">
        <v>536</v>
      </c>
      <c r="K35" s="267" t="s">
        <v>536</v>
      </c>
    </row>
    <row r="36" spans="2:20" ht="14.45" customHeight="1" x14ac:dyDescent="0.25">
      <c r="B36" s="428" t="s">
        <v>252</v>
      </c>
      <c r="C36" s="429"/>
      <c r="D36" s="429"/>
      <c r="E36" s="429"/>
      <c r="F36" s="429"/>
      <c r="G36" s="429"/>
      <c r="H36" s="429"/>
      <c r="I36" s="430"/>
      <c r="J36" s="431">
        <f>val!H23</f>
        <v>7318000</v>
      </c>
      <c r="K36" s="432"/>
      <c r="L36" s="208"/>
    </row>
    <row r="37" spans="2:20" x14ac:dyDescent="0.25">
      <c r="B37" s="212" t="str">
        <f>"FAIR MARKET VALUE OF THE PROPERTY (NRs.): "&amp;TEXT(J36,"#,##0.00")</f>
        <v>FAIR MARKET VALUE OF THE PROPERTY (NRs.): 7,318,000.00</v>
      </c>
    </row>
    <row r="38" spans="2:20" x14ac:dyDescent="0.25">
      <c r="B38" s="212" t="str">
        <f>"In Words: NRs. "&amp;'DE (Tentative)'!D754&amp;"."</f>
        <v>In Words: NRs. Seventy Three Lakh And Eighteen Thousand Only..</v>
      </c>
      <c r="N38" s="356">
        <f>J36-5000000</f>
        <v>2318000</v>
      </c>
    </row>
    <row r="39" spans="2:20" x14ac:dyDescent="0.25">
      <c r="B39" s="96" t="s">
        <v>330</v>
      </c>
      <c r="N39" s="96">
        <f>N38*0.15%</f>
        <v>3477</v>
      </c>
    </row>
    <row r="40" spans="2:20" x14ac:dyDescent="0.25">
      <c r="N40" s="96">
        <f>12500+3500</f>
        <v>16000</v>
      </c>
    </row>
    <row r="41" spans="2:20" x14ac:dyDescent="0.25">
      <c r="B41" s="96" t="s">
        <v>331</v>
      </c>
      <c r="N41" s="96">
        <f>N40*13%</f>
        <v>2080</v>
      </c>
    </row>
    <row r="42" spans="2:20" x14ac:dyDescent="0.25">
      <c r="N42" s="96">
        <f>N40+N41</f>
        <v>18080</v>
      </c>
    </row>
    <row r="44" spans="2:20" x14ac:dyDescent="0.25">
      <c r="B44" s="213"/>
      <c r="C44" s="213"/>
      <c r="D44" s="213"/>
    </row>
    <row r="45" spans="2:20" x14ac:dyDescent="0.25">
      <c r="B45" s="96" t="s">
        <v>186</v>
      </c>
    </row>
    <row r="46" spans="2:20" x14ac:dyDescent="0.25">
      <c r="B46" s="96" t="s">
        <v>332</v>
      </c>
    </row>
    <row r="47" spans="2:20" x14ac:dyDescent="0.25">
      <c r="B47" s="96" t="s">
        <v>333</v>
      </c>
    </row>
  </sheetData>
  <mergeCells count="26">
    <mergeCell ref="B19:D19"/>
    <mergeCell ref="E18:L18"/>
    <mergeCell ref="E19:L19"/>
    <mergeCell ref="C25:K26"/>
    <mergeCell ref="B7:C7"/>
    <mergeCell ref="A15:L15"/>
    <mergeCell ref="B16:K17"/>
    <mergeCell ref="B18:D18"/>
    <mergeCell ref="B36:I36"/>
    <mergeCell ref="J36:K36"/>
    <mergeCell ref="B31:B33"/>
    <mergeCell ref="C31:C33"/>
    <mergeCell ref="D31:D33"/>
    <mergeCell ref="E31:E33"/>
    <mergeCell ref="H31:H33"/>
    <mergeCell ref="I31:I33"/>
    <mergeCell ref="J31:J33"/>
    <mergeCell ref="K31:K33"/>
    <mergeCell ref="F32:G32"/>
    <mergeCell ref="F33:G33"/>
    <mergeCell ref="B34:H35"/>
    <mergeCell ref="B29:B30"/>
    <mergeCell ref="C29:C30"/>
    <mergeCell ref="D29:D30"/>
    <mergeCell ref="E29:H29"/>
    <mergeCell ref="I29:K29"/>
  </mergeCells>
  <printOptions horizontalCentered="1" verticalCentered="1"/>
  <pageMargins left="0.70866141732283505" right="0.45866141700000002" top="0.74803149606299202" bottom="0.74803149606299202" header="0.31496062992126" footer="0.31496062992126"/>
  <pageSetup scale="92" orientation="portrait" r:id="rId1"/>
  <headerFooter>
    <oddFooter>&amp;R&amp;G</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B1:G40"/>
  <sheetViews>
    <sheetView view="pageBreakPreview" zoomScale="115" zoomScaleNormal="100" zoomScaleSheetLayoutView="115" workbookViewId="0">
      <selection activeCell="P35" sqref="P35:P38"/>
    </sheetView>
  </sheetViews>
  <sheetFormatPr defaultColWidth="9.140625" defaultRowHeight="15" x14ac:dyDescent="0.25"/>
  <cols>
    <col min="1" max="1" width="5.42578125" customWidth="1"/>
    <col min="2" max="2" width="4.28515625" customWidth="1"/>
    <col min="3" max="3" width="70.42578125" customWidth="1"/>
  </cols>
  <sheetData>
    <row r="1" spans="2:3" s="2" customFormat="1" ht="25.5" customHeight="1" x14ac:dyDescent="0.25">
      <c r="B1" s="408" t="s">
        <v>12</v>
      </c>
      <c r="C1" s="408"/>
    </row>
    <row r="2" spans="2:3" ht="15.75" x14ac:dyDescent="0.25">
      <c r="B2" s="91" t="s">
        <v>265</v>
      </c>
      <c r="C2" s="91"/>
    </row>
    <row r="3" spans="2:3" ht="15.75" x14ac:dyDescent="0.25">
      <c r="B3" s="91" t="s">
        <v>13</v>
      </c>
      <c r="C3" s="91"/>
    </row>
    <row r="4" spans="2:3" ht="15.75" x14ac:dyDescent="0.25">
      <c r="B4" s="91"/>
      <c r="C4" s="91" t="s">
        <v>255</v>
      </c>
    </row>
    <row r="5" spans="2:3" ht="15.75" x14ac:dyDescent="0.25">
      <c r="B5" s="91"/>
      <c r="C5" s="91" t="s">
        <v>266</v>
      </c>
    </row>
    <row r="6" spans="2:3" ht="15.75" x14ac:dyDescent="0.25">
      <c r="B6" s="91"/>
      <c r="C6" s="91" t="s">
        <v>267</v>
      </c>
    </row>
    <row r="7" spans="2:3" ht="15.75" x14ac:dyDescent="0.25">
      <c r="B7" s="91"/>
      <c r="C7" s="91" t="s">
        <v>256</v>
      </c>
    </row>
    <row r="8" spans="2:3" ht="15.75" x14ac:dyDescent="0.25">
      <c r="B8" s="91"/>
      <c r="C8" s="91" t="s">
        <v>257</v>
      </c>
    </row>
    <row r="9" spans="2:3" ht="15.75" x14ac:dyDescent="0.25">
      <c r="B9" s="91"/>
      <c r="C9" s="91" t="s">
        <v>268</v>
      </c>
    </row>
    <row r="10" spans="2:3" ht="15.75" x14ac:dyDescent="0.25">
      <c r="B10" s="91"/>
      <c r="C10" s="91" t="s">
        <v>258</v>
      </c>
    </row>
    <row r="11" spans="2:3" ht="15.75" x14ac:dyDescent="0.25">
      <c r="B11" s="91"/>
      <c r="C11" s="91" t="s">
        <v>259</v>
      </c>
    </row>
    <row r="12" spans="2:3" ht="15.75" x14ac:dyDescent="0.25">
      <c r="B12" s="91"/>
      <c r="C12" s="91" t="s">
        <v>170</v>
      </c>
    </row>
    <row r="13" spans="2:3" ht="15.75" x14ac:dyDescent="0.25">
      <c r="B13" s="91"/>
      <c r="C13" s="91" t="s">
        <v>243</v>
      </c>
    </row>
    <row r="14" spans="2:3" ht="15.75" x14ac:dyDescent="0.25">
      <c r="B14" s="452" t="s">
        <v>260</v>
      </c>
      <c r="C14" s="452"/>
    </row>
    <row r="15" spans="2:3" ht="15.75" x14ac:dyDescent="0.25">
      <c r="B15" s="98" t="s">
        <v>269</v>
      </c>
      <c r="C15" s="98"/>
    </row>
    <row r="16" spans="2:3" ht="15.75" x14ac:dyDescent="0.25">
      <c r="B16" s="98" t="s">
        <v>261</v>
      </c>
      <c r="C16" s="98"/>
    </row>
    <row r="17" spans="2:3" ht="15.75" x14ac:dyDescent="0.25">
      <c r="B17" s="452" t="s">
        <v>262</v>
      </c>
      <c r="C17" s="452"/>
    </row>
    <row r="18" spans="2:3" ht="15.75" x14ac:dyDescent="0.25">
      <c r="B18" s="98" t="s">
        <v>263</v>
      </c>
      <c r="C18" s="98"/>
    </row>
    <row r="19" spans="2:3" ht="15.75" x14ac:dyDescent="0.25">
      <c r="B19" s="452" t="s">
        <v>227</v>
      </c>
      <c r="C19" s="452"/>
    </row>
    <row r="20" spans="2:3" ht="15.75" x14ac:dyDescent="0.25">
      <c r="B20" s="452" t="s">
        <v>228</v>
      </c>
      <c r="C20" s="452"/>
    </row>
    <row r="21" spans="2:3" ht="15.75" x14ac:dyDescent="0.25">
      <c r="B21" s="452" t="s">
        <v>229</v>
      </c>
      <c r="C21" s="452"/>
    </row>
    <row r="22" spans="2:3" ht="15.75" x14ac:dyDescent="0.25">
      <c r="B22" s="98" t="s">
        <v>230</v>
      </c>
      <c r="C22" s="98"/>
    </row>
    <row r="23" spans="2:3" ht="15.75" x14ac:dyDescent="0.25">
      <c r="B23" s="98" t="s">
        <v>270</v>
      </c>
      <c r="C23" s="98"/>
    </row>
    <row r="24" spans="2:3" ht="15.75" x14ac:dyDescent="0.25">
      <c r="B24" s="98" t="s">
        <v>231</v>
      </c>
      <c r="C24" s="98"/>
    </row>
    <row r="25" spans="2:3" ht="15.75" x14ac:dyDescent="0.25">
      <c r="B25" s="452" t="s">
        <v>264</v>
      </c>
      <c r="C25" s="452"/>
    </row>
    <row r="26" spans="2:3" ht="15.75" x14ac:dyDescent="0.25">
      <c r="B26" s="452" t="s">
        <v>232</v>
      </c>
      <c r="C26" s="452"/>
    </row>
    <row r="27" spans="2:3" ht="15.75" x14ac:dyDescent="0.25">
      <c r="B27" s="98" t="s">
        <v>271</v>
      </c>
      <c r="C27" s="98"/>
    </row>
    <row r="28" spans="2:3" ht="15.75" x14ac:dyDescent="0.25">
      <c r="B28" s="452" t="s">
        <v>272</v>
      </c>
      <c r="C28" s="452"/>
    </row>
    <row r="29" spans="2:3" ht="15.75" x14ac:dyDescent="0.25">
      <c r="B29" s="98" t="s">
        <v>273</v>
      </c>
      <c r="C29" s="98"/>
    </row>
    <row r="30" spans="2:3" ht="18.75" x14ac:dyDescent="0.25">
      <c r="B30" s="453" t="s">
        <v>274</v>
      </c>
      <c r="C30" s="453"/>
    </row>
    <row r="31" spans="2:3" ht="18.75" x14ac:dyDescent="0.25">
      <c r="B31" s="453" t="s">
        <v>171</v>
      </c>
      <c r="C31" s="453"/>
    </row>
    <row r="32" spans="2:3" ht="15.75" x14ac:dyDescent="0.25">
      <c r="B32" s="452" t="s">
        <v>279</v>
      </c>
      <c r="C32" s="452"/>
    </row>
    <row r="33" spans="2:7" ht="15.75" x14ac:dyDescent="0.25">
      <c r="B33" s="452" t="s">
        <v>276</v>
      </c>
      <c r="C33" s="452"/>
      <c r="D33" s="91"/>
      <c r="E33" s="89"/>
      <c r="F33" s="89"/>
      <c r="G33" s="90"/>
    </row>
    <row r="34" spans="2:7" ht="15.75" x14ac:dyDescent="0.25">
      <c r="B34" s="452" t="s">
        <v>238</v>
      </c>
      <c r="C34" s="452"/>
      <c r="D34" s="91"/>
      <c r="E34" s="89"/>
      <c r="F34" s="89"/>
      <c r="G34" s="90"/>
    </row>
    <row r="35" spans="2:7" ht="15.75" x14ac:dyDescent="0.25">
      <c r="B35" s="452" t="s">
        <v>275</v>
      </c>
      <c r="C35" s="452"/>
      <c r="D35" s="91"/>
      <c r="E35" s="89"/>
      <c r="F35" s="89"/>
      <c r="G35" s="90"/>
    </row>
    <row r="36" spans="2:7" ht="15.75" hidden="1" x14ac:dyDescent="0.25">
      <c r="D36" s="91"/>
      <c r="E36" s="89"/>
      <c r="F36" s="89"/>
      <c r="G36" s="90"/>
    </row>
    <row r="37" spans="2:7" ht="15.75" x14ac:dyDescent="0.25">
      <c r="B37" s="452" t="s">
        <v>278</v>
      </c>
      <c r="C37" s="452"/>
      <c r="D37" s="91"/>
      <c r="E37" s="89"/>
      <c r="F37" s="89"/>
      <c r="G37" s="90"/>
    </row>
    <row r="38" spans="2:7" ht="15.75" x14ac:dyDescent="0.25">
      <c r="B38" s="452" t="s">
        <v>249</v>
      </c>
      <c r="C38" s="452"/>
      <c r="D38" s="91"/>
      <c r="E38" s="89"/>
      <c r="F38" s="89"/>
      <c r="G38" s="90"/>
    </row>
    <row r="39" spans="2:7" ht="15.75" x14ac:dyDescent="0.25">
      <c r="B39" s="452" t="s">
        <v>250</v>
      </c>
      <c r="C39" s="452"/>
      <c r="D39" s="91"/>
      <c r="E39" s="89"/>
      <c r="F39" s="89"/>
      <c r="G39" s="90"/>
    </row>
    <row r="40" spans="2:7" ht="15.75" x14ac:dyDescent="0.25">
      <c r="B40" s="452" t="s">
        <v>277</v>
      </c>
      <c r="C40" s="452"/>
      <c r="D40" s="91"/>
    </row>
  </sheetData>
  <mergeCells count="19">
    <mergeCell ref="B37:C37"/>
    <mergeCell ref="B39:C39"/>
    <mergeCell ref="B40:C40"/>
    <mergeCell ref="B38:C38"/>
    <mergeCell ref="B1:C1"/>
    <mergeCell ref="B33:C33"/>
    <mergeCell ref="B34:C34"/>
    <mergeCell ref="B35:C35"/>
    <mergeCell ref="B25:C25"/>
    <mergeCell ref="B26:C26"/>
    <mergeCell ref="B28:C28"/>
    <mergeCell ref="B30:C30"/>
    <mergeCell ref="B31:C31"/>
    <mergeCell ref="B14:C14"/>
    <mergeCell ref="B17:C17"/>
    <mergeCell ref="B19:C19"/>
    <mergeCell ref="B20:C20"/>
    <mergeCell ref="B21:C21"/>
    <mergeCell ref="B32:C32"/>
  </mergeCells>
  <printOptions horizontalCentered="1" verticalCentered="1"/>
  <pageMargins left="0.70866141732283505" right="0.45866141700000002" top="0.74803149606299202" bottom="0.74803149606299202" header="0.31496062992126" footer="0.31496062992126"/>
  <pageSetup orientation="portrait" horizontalDpi="4294967293" verticalDpi="1200" r:id="rId1"/>
  <headerFooter>
    <oddFooter>&amp;R&amp;G</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B1:I72"/>
  <sheetViews>
    <sheetView view="pageLayout" topLeftCell="A36" workbookViewId="0">
      <selection activeCell="E45" sqref="E45"/>
    </sheetView>
  </sheetViews>
  <sheetFormatPr defaultRowHeight="15" x14ac:dyDescent="0.25"/>
  <cols>
    <col min="1" max="1" width="7.140625" customWidth="1"/>
    <col min="2" max="2" width="5.140625" customWidth="1"/>
    <col min="3" max="3" width="34.42578125" customWidth="1"/>
    <col min="4" max="4" width="2.42578125" customWidth="1"/>
    <col min="5" max="5" width="11" customWidth="1"/>
    <col min="7" max="7" width="1.85546875" customWidth="1"/>
    <col min="8" max="8" width="1.28515625" customWidth="1"/>
    <col min="9" max="9" width="15.85546875" customWidth="1"/>
  </cols>
  <sheetData>
    <row r="1" spans="2:6" ht="20.100000000000001" customHeight="1" x14ac:dyDescent="0.3">
      <c r="B1" s="6"/>
    </row>
    <row r="2" spans="2:6" ht="20.100000000000001" customHeight="1" x14ac:dyDescent="0.3">
      <c r="B2" s="3" t="str">
        <f>TOC!B3</f>
        <v>1. General Information</v>
      </c>
    </row>
    <row r="3" spans="2:6" ht="20.100000000000001" customHeight="1" x14ac:dyDescent="0.3">
      <c r="B3" s="4" t="str">
        <f>TOC!C4</f>
        <v>a. Name, Address and General Information of the Client</v>
      </c>
      <c r="F3" s="92"/>
    </row>
    <row r="4" spans="2:6" ht="13.15" customHeight="1" x14ac:dyDescent="0.25">
      <c r="C4" s="2"/>
    </row>
    <row r="5" spans="2:6" ht="28.15" customHeight="1" x14ac:dyDescent="0.25">
      <c r="C5" s="75" t="str">
        <f>'DE (Final)'!B14</f>
        <v>Client</v>
      </c>
      <c r="D5" s="75" t="s">
        <v>7</v>
      </c>
      <c r="E5" s="172" t="str">
        <f>'DE (Final)'!C14</f>
        <v>Mr. Ram Bahadur Khatri</v>
      </c>
    </row>
    <row r="6" spans="2:6" ht="20.100000000000001" customHeight="1" x14ac:dyDescent="0.25">
      <c r="C6" t="str">
        <f>'DE (Final)'!B15</f>
        <v>Address</v>
      </c>
      <c r="E6" s="13"/>
    </row>
    <row r="7" spans="2:6" ht="20.100000000000001" customHeight="1" x14ac:dyDescent="0.25">
      <c r="C7" s="5" t="str">
        <f>'DE (Final)'!B16</f>
        <v>Ward No</v>
      </c>
      <c r="D7" t="s">
        <v>7</v>
      </c>
      <c r="E7" s="13">
        <f>'DE (Final)'!C16</f>
        <v>2</v>
      </c>
    </row>
    <row r="8" spans="2:6" ht="20.100000000000001" customHeight="1" x14ac:dyDescent="0.25">
      <c r="C8" s="5" t="str">
        <f>'DE (Final)'!B17</f>
        <v>Municipality/VDC</v>
      </c>
      <c r="D8" t="s">
        <v>7</v>
      </c>
      <c r="E8" s="13" t="str">
        <f>'DE (Final)'!C17</f>
        <v>Jiri Municipality</v>
      </c>
    </row>
    <row r="9" spans="2:6" ht="20.100000000000001" customHeight="1" x14ac:dyDescent="0.25">
      <c r="C9" s="5" t="str">
        <f>'DE (Final)'!B18</f>
        <v>District</v>
      </c>
      <c r="D9" t="s">
        <v>7</v>
      </c>
      <c r="E9" s="13" t="str">
        <f>'DE (Final)'!C18</f>
        <v>Dolakha</v>
      </c>
    </row>
    <row r="10" spans="2:6" ht="20.100000000000001" customHeight="1" x14ac:dyDescent="0.25">
      <c r="C10" t="str">
        <f>'DE (Final)'!B19</f>
        <v>Citizenship No.</v>
      </c>
      <c r="D10" t="s">
        <v>7</v>
      </c>
      <c r="E10" s="13" t="str">
        <f>'DE (Final)'!C19</f>
        <v>29505/1856</v>
      </c>
    </row>
    <row r="11" spans="2:6" ht="20.100000000000001" customHeight="1" x14ac:dyDescent="0.25">
      <c r="C11" t="str">
        <f>'DE (Final)'!B20</f>
        <v>Issued Date</v>
      </c>
      <c r="D11" t="s">
        <v>7</v>
      </c>
      <c r="E11" s="13" t="str">
        <f>'DE (Final)'!C20</f>
        <v>2060/02/27</v>
      </c>
    </row>
    <row r="12" spans="2:6" ht="20.100000000000001" customHeight="1" x14ac:dyDescent="0.25">
      <c r="C12" t="str">
        <f>'DE (Final)'!B21</f>
        <v>Issued Office</v>
      </c>
      <c r="D12" t="s">
        <v>7</v>
      </c>
      <c r="E12" s="13" t="str">
        <f>'DE (Final)'!C21</f>
        <v>District Administration Office, Dolakha</v>
      </c>
    </row>
    <row r="13" spans="2:6" ht="20.100000000000001" customHeight="1" x14ac:dyDescent="0.25">
      <c r="C13" t="str">
        <f>'DE (Final)'!B22</f>
        <v>Father's Name</v>
      </c>
      <c r="D13" t="s">
        <v>7</v>
      </c>
      <c r="E13" s="13" t="str">
        <f>'DE (Final)'!C22</f>
        <v>Mr. Chandra Bahadur Khatri</v>
      </c>
    </row>
    <row r="14" spans="2:6" ht="20.100000000000001" customHeight="1" x14ac:dyDescent="0.25">
      <c r="C14" t="str">
        <f>'DE (Final)'!B23</f>
        <v>Grand Father's Name</v>
      </c>
      <c r="D14" t="s">
        <v>7</v>
      </c>
      <c r="E14" s="13" t="str">
        <f>'DE (Final)'!C23</f>
        <v>Mr. Sadananda Upadhya</v>
      </c>
    </row>
    <row r="15" spans="2:6" ht="20.25" customHeight="1" x14ac:dyDescent="0.25">
      <c r="C15" t="str">
        <f>'DE (Final)'!B24</f>
        <v>Contact No.</v>
      </c>
      <c r="D15" t="s">
        <v>7</v>
      </c>
      <c r="E15" s="13">
        <f>'DE (Final)'!C24</f>
        <v>9765014537</v>
      </c>
    </row>
    <row r="16" spans="2:6" ht="13.15" customHeight="1" x14ac:dyDescent="0.25">
      <c r="C16" s="2"/>
    </row>
    <row r="17" spans="2:9" ht="19.5" hidden="1" customHeight="1" x14ac:dyDescent="0.25">
      <c r="C17" s="5"/>
      <c r="E17" s="13"/>
    </row>
    <row r="18" spans="2:9" ht="19.5" hidden="1" customHeight="1" x14ac:dyDescent="0.25">
      <c r="C18" s="5"/>
      <c r="E18" s="13"/>
    </row>
    <row r="19" spans="2:9" ht="19.5" hidden="1" customHeight="1" x14ac:dyDescent="0.25">
      <c r="C19" s="5"/>
      <c r="E19" s="13"/>
    </row>
    <row r="20" spans="2:9" ht="19.5" hidden="1" customHeight="1" x14ac:dyDescent="0.25">
      <c r="E20" s="13"/>
    </row>
    <row r="21" spans="2:9" ht="19.5" hidden="1" customHeight="1" x14ac:dyDescent="0.25">
      <c r="E21" s="13"/>
    </row>
    <row r="22" spans="2:9" ht="19.5" hidden="1" customHeight="1" x14ac:dyDescent="0.25">
      <c r="E22" s="13"/>
    </row>
    <row r="23" spans="2:9" ht="19.5" hidden="1" customHeight="1" x14ac:dyDescent="0.25">
      <c r="E23" s="13"/>
    </row>
    <row r="24" spans="2:9" ht="19.5" hidden="1" customHeight="1" x14ac:dyDescent="0.25">
      <c r="E24" s="13"/>
    </row>
    <row r="25" spans="2:9" ht="19.5" hidden="1" customHeight="1" x14ac:dyDescent="0.25">
      <c r="E25" s="13"/>
    </row>
    <row r="26" spans="2:9" ht="19.5" hidden="1" customHeight="1" x14ac:dyDescent="0.25">
      <c r="E26" s="13"/>
    </row>
    <row r="27" spans="2:9" ht="20.100000000000001" customHeight="1" x14ac:dyDescent="0.3">
      <c r="B27" s="4" t="str">
        <f>TOC!C5</f>
        <v>b. Property to be Mortgaged</v>
      </c>
      <c r="C27" s="4"/>
      <c r="D27" s="4" t="s">
        <v>7</v>
      </c>
      <c r="E27" s="454" t="str">
        <f>'DE (Tentative)'!F4</f>
        <v>Land</v>
      </c>
      <c r="F27" s="454"/>
      <c r="G27" s="454"/>
      <c r="H27" s="454"/>
      <c r="I27" s="454"/>
    </row>
    <row r="28" spans="2:9" ht="20.100000000000001" customHeight="1" x14ac:dyDescent="0.3">
      <c r="B28" s="4"/>
      <c r="C28" s="4"/>
      <c r="D28" s="4"/>
      <c r="E28" s="344"/>
      <c r="F28" s="344"/>
      <c r="G28" s="344"/>
      <c r="H28" s="344"/>
      <c r="I28" s="344"/>
    </row>
    <row r="29" spans="2:9" ht="20.100000000000001" customHeight="1" x14ac:dyDescent="0.3">
      <c r="B29" s="4"/>
      <c r="C29" s="4"/>
      <c r="D29" s="4"/>
      <c r="E29" s="344"/>
      <c r="F29" s="344"/>
      <c r="G29" s="344"/>
      <c r="H29" s="344"/>
      <c r="I29" s="344"/>
    </row>
    <row r="30" spans="2:9" ht="20.100000000000001" customHeight="1" x14ac:dyDescent="0.3">
      <c r="B30" s="4"/>
      <c r="C30" s="4"/>
      <c r="D30" s="4"/>
      <c r="E30" s="344"/>
      <c r="F30" s="344"/>
      <c r="G30" s="344"/>
      <c r="H30" s="344"/>
      <c r="I30" s="344"/>
    </row>
    <row r="31" spans="2:9" ht="20.100000000000001" customHeight="1" x14ac:dyDescent="0.3">
      <c r="B31" s="4"/>
      <c r="C31" s="4"/>
      <c r="D31" s="4"/>
      <c r="E31" s="344"/>
      <c r="F31" s="344"/>
      <c r="G31" s="344"/>
      <c r="H31" s="344"/>
      <c r="I31" s="344"/>
    </row>
    <row r="32" spans="2:9" ht="20.100000000000001" customHeight="1" x14ac:dyDescent="0.3">
      <c r="B32" s="4"/>
      <c r="C32" s="4"/>
      <c r="D32" s="4"/>
      <c r="E32" s="344"/>
      <c r="F32" s="344"/>
      <c r="G32" s="344"/>
      <c r="H32" s="344"/>
      <c r="I32" s="344"/>
    </row>
    <row r="33" spans="2:9" ht="20.100000000000001" customHeight="1" x14ac:dyDescent="0.3">
      <c r="B33" s="4"/>
      <c r="C33" s="4"/>
      <c r="D33" s="4"/>
      <c r="E33" s="344"/>
      <c r="F33" s="344"/>
      <c r="G33" s="344"/>
      <c r="H33" s="344"/>
      <c r="I33" s="344"/>
    </row>
    <row r="34" spans="2:9" ht="20.100000000000001" customHeight="1" x14ac:dyDescent="0.3">
      <c r="B34" s="4"/>
      <c r="C34" s="4"/>
      <c r="D34" s="4"/>
      <c r="E34" s="344"/>
      <c r="F34" s="344"/>
      <c r="G34" s="344"/>
      <c r="H34" s="344"/>
      <c r="I34" s="344"/>
    </row>
    <row r="35" spans="2:9" ht="20.100000000000001" customHeight="1" x14ac:dyDescent="0.3">
      <c r="B35" s="4"/>
      <c r="C35" s="4"/>
      <c r="D35" s="4"/>
      <c r="E35" s="344"/>
      <c r="F35" s="344"/>
      <c r="G35" s="344"/>
      <c r="H35" s="344"/>
      <c r="I35" s="344"/>
    </row>
    <row r="36" spans="2:9" ht="20.100000000000001" customHeight="1" x14ac:dyDescent="0.3">
      <c r="B36" s="4"/>
      <c r="C36" s="4"/>
      <c r="D36" s="4"/>
      <c r="E36" s="344"/>
      <c r="F36" s="344"/>
      <c r="G36" s="344"/>
      <c r="H36" s="344"/>
      <c r="I36" s="344"/>
    </row>
    <row r="37" spans="2:9" ht="20.100000000000001" customHeight="1" x14ac:dyDescent="0.3">
      <c r="B37" s="4"/>
      <c r="C37" s="4"/>
      <c r="D37" s="4"/>
      <c r="E37" s="344"/>
      <c r="F37" s="344"/>
      <c r="G37" s="344"/>
      <c r="H37" s="344"/>
      <c r="I37" s="344"/>
    </row>
    <row r="38" spans="2:9" ht="20.100000000000001" customHeight="1" x14ac:dyDescent="0.3">
      <c r="B38" s="4"/>
      <c r="C38" s="4"/>
      <c r="D38" s="4"/>
      <c r="E38" s="344"/>
      <c r="F38" s="344"/>
      <c r="G38" s="344"/>
      <c r="H38" s="344"/>
      <c r="I38" s="344"/>
    </row>
    <row r="39" spans="2:9" ht="20.100000000000001" customHeight="1" x14ac:dyDescent="0.3">
      <c r="B39" s="4"/>
      <c r="C39" s="4"/>
      <c r="D39" s="4"/>
      <c r="E39" s="344"/>
      <c r="F39" s="344"/>
      <c r="G39" s="344"/>
      <c r="H39" s="344"/>
      <c r="I39" s="344"/>
    </row>
    <row r="40" spans="2:9" ht="20.100000000000001" customHeight="1" x14ac:dyDescent="0.3">
      <c r="B40" s="4"/>
      <c r="C40" s="4"/>
      <c r="D40" s="4"/>
      <c r="E40" s="344"/>
      <c r="F40" s="344"/>
      <c r="G40" s="344"/>
      <c r="H40" s="344"/>
      <c r="I40" s="344"/>
    </row>
    <row r="41" spans="2:9" ht="20.100000000000001" customHeight="1" x14ac:dyDescent="0.3">
      <c r="B41" s="4"/>
      <c r="C41" s="4"/>
      <c r="D41" s="4"/>
      <c r="E41" s="344"/>
      <c r="F41" s="344"/>
      <c r="G41" s="344"/>
      <c r="H41" s="344"/>
      <c r="I41" s="344"/>
    </row>
    <row r="42" spans="2:9" ht="20.100000000000001" customHeight="1" x14ac:dyDescent="0.3">
      <c r="B42" s="4"/>
      <c r="C42" s="4"/>
      <c r="D42" s="4"/>
      <c r="E42" s="344"/>
      <c r="F42" s="344"/>
      <c r="G42" s="344"/>
      <c r="H42" s="344"/>
      <c r="I42" s="344"/>
    </row>
    <row r="43" spans="2:9" ht="20.100000000000001" customHeight="1" x14ac:dyDescent="0.3">
      <c r="B43" s="4"/>
      <c r="C43" s="4"/>
      <c r="D43" s="4"/>
      <c r="E43" s="344"/>
      <c r="F43" s="344"/>
      <c r="G43" s="344"/>
      <c r="H43" s="344"/>
      <c r="I43" s="344"/>
    </row>
    <row r="44" spans="2:9" ht="20.100000000000001" customHeight="1" x14ac:dyDescent="0.3">
      <c r="B44" s="4"/>
      <c r="C44" s="4"/>
      <c r="D44" s="4"/>
      <c r="E44" s="344"/>
      <c r="F44" s="344"/>
      <c r="G44" s="344"/>
      <c r="H44" s="344"/>
      <c r="I44" s="344"/>
    </row>
    <row r="45" spans="2:9" ht="20.100000000000001" customHeight="1" x14ac:dyDescent="0.3">
      <c r="B45" s="4"/>
      <c r="C45" s="4"/>
      <c r="D45" s="4"/>
      <c r="E45" s="344"/>
      <c r="F45" s="344"/>
      <c r="G45" s="344"/>
      <c r="H45" s="344"/>
      <c r="I45" s="344"/>
    </row>
    <row r="46" spans="2:9" ht="20.100000000000001" customHeight="1" x14ac:dyDescent="0.25"/>
    <row r="47" spans="2:9" ht="20.100000000000001" customHeight="1" x14ac:dyDescent="0.3">
      <c r="B47" s="4" t="str">
        <f>TOC!C6</f>
        <v>c. Name, Address and General Information of the Owner of the Property</v>
      </c>
    </row>
    <row r="48" spans="2:9" ht="13.15" customHeight="1" x14ac:dyDescent="0.25">
      <c r="C48" s="2"/>
    </row>
    <row r="49" spans="3:5" ht="28.15" customHeight="1" x14ac:dyDescent="0.25">
      <c r="C49" s="75" t="str">
        <f>'DE (Final)'!E14</f>
        <v>Owner 1</v>
      </c>
      <c r="D49" s="75" t="s">
        <v>7</v>
      </c>
      <c r="E49" s="172" t="str">
        <f>'DE (Final)'!F14</f>
        <v>Mr. Ram Bahadur Khatri</v>
      </c>
    </row>
    <row r="50" spans="3:5" ht="20.100000000000001" customHeight="1" x14ac:dyDescent="0.25">
      <c r="C50" t="str">
        <f>'DE (Final)'!E15</f>
        <v>Address</v>
      </c>
      <c r="E50" s="13"/>
    </row>
    <row r="51" spans="3:5" ht="20.100000000000001" customHeight="1" x14ac:dyDescent="0.25">
      <c r="C51" s="5" t="str">
        <f>'DE (Final)'!E16</f>
        <v>Ward No</v>
      </c>
      <c r="D51" t="s">
        <v>7</v>
      </c>
      <c r="E51" s="13">
        <f>'DE (Final)'!F16</f>
        <v>2</v>
      </c>
    </row>
    <row r="52" spans="3:5" ht="20.100000000000001" customHeight="1" x14ac:dyDescent="0.25">
      <c r="C52" s="5" t="str">
        <f>'DE (Final)'!E17</f>
        <v>Municipality/VDC</v>
      </c>
      <c r="D52" t="s">
        <v>7</v>
      </c>
      <c r="E52" s="13" t="str">
        <f>'DE (Final)'!F17</f>
        <v>Jiri Municipality</v>
      </c>
    </row>
    <row r="53" spans="3:5" ht="20.100000000000001" customHeight="1" x14ac:dyDescent="0.25">
      <c r="C53" s="5" t="str">
        <f>'DE (Final)'!E18</f>
        <v>District</v>
      </c>
      <c r="D53" t="s">
        <v>7</v>
      </c>
      <c r="E53" s="13" t="str">
        <f>'DE (Final)'!F18</f>
        <v>Dolakha</v>
      </c>
    </row>
    <row r="54" spans="3:5" ht="20.100000000000001" customHeight="1" x14ac:dyDescent="0.25">
      <c r="C54" t="str">
        <f>'DE (Final)'!E19</f>
        <v>Citizenship No.</v>
      </c>
      <c r="D54" t="s">
        <v>7</v>
      </c>
      <c r="E54" s="13" t="str">
        <f>'DE (Final)'!F19</f>
        <v>29505/1856</v>
      </c>
    </row>
    <row r="55" spans="3:5" ht="20.100000000000001" customHeight="1" x14ac:dyDescent="0.25">
      <c r="C55" t="str">
        <f>'DE (Final)'!E20</f>
        <v>Issued Date</v>
      </c>
      <c r="D55" t="s">
        <v>7</v>
      </c>
      <c r="E55" s="13" t="str">
        <f>'DE (Final)'!F20</f>
        <v>2060/02/27</v>
      </c>
    </row>
    <row r="56" spans="3:5" ht="20.100000000000001" customHeight="1" x14ac:dyDescent="0.25">
      <c r="C56" t="str">
        <f>'DE (Final)'!E21</f>
        <v>Issued Office</v>
      </c>
      <c r="D56" t="s">
        <v>7</v>
      </c>
      <c r="E56" s="13" t="str">
        <f>'DE (Final)'!F21</f>
        <v>District Administration Office, Dolakha</v>
      </c>
    </row>
    <row r="57" spans="3:5" ht="20.100000000000001" customHeight="1" x14ac:dyDescent="0.25">
      <c r="C57" t="str">
        <f>'DE (Final)'!E22</f>
        <v>Father's Name</v>
      </c>
      <c r="D57" t="s">
        <v>7</v>
      </c>
      <c r="E57" s="13" t="str">
        <f>'DE (Final)'!F22</f>
        <v>Mr. Chandra Bahadur Khatri</v>
      </c>
    </row>
    <row r="58" spans="3:5" ht="20.100000000000001" customHeight="1" x14ac:dyDescent="0.25">
      <c r="C58" t="str">
        <f>'DE (Final)'!E23</f>
        <v>Grand Father's Name</v>
      </c>
      <c r="D58" t="s">
        <v>7</v>
      </c>
      <c r="E58" s="13" t="str">
        <f>'DE (Final)'!F23</f>
        <v>Mr. Sadananda Upadhya</v>
      </c>
    </row>
    <row r="59" spans="3:5" ht="20.25" customHeight="1" x14ac:dyDescent="0.25">
      <c r="C59" t="str">
        <f>'DE (Final)'!E24</f>
        <v>Contact No.</v>
      </c>
      <c r="D59" t="s">
        <v>7</v>
      </c>
      <c r="E59" s="13">
        <f>'DE (Final)'!F24</f>
        <v>9765014537</v>
      </c>
    </row>
    <row r="62" spans="3:5" ht="28.15" customHeight="1" x14ac:dyDescent="0.25">
      <c r="C62" s="75" t="str">
        <f>'DE (Final)'!E27</f>
        <v>Owner 2</v>
      </c>
      <c r="D62" s="75" t="s">
        <v>7</v>
      </c>
      <c r="E62" s="172" t="str">
        <f>'DE (Final)'!F27</f>
        <v>Mrs. Saru Khatri</v>
      </c>
    </row>
    <row r="63" spans="3:5" ht="20.100000000000001" customHeight="1" x14ac:dyDescent="0.25">
      <c r="C63" t="str">
        <f>'DE (Final)'!E28</f>
        <v>Address</v>
      </c>
      <c r="E63" s="13"/>
    </row>
    <row r="64" spans="3:5" ht="20.100000000000001" customHeight="1" x14ac:dyDescent="0.25">
      <c r="C64" s="5" t="str">
        <f>'DE (Final)'!E29</f>
        <v>Ward No</v>
      </c>
      <c r="D64" t="s">
        <v>7</v>
      </c>
      <c r="E64" s="13">
        <f>'DE (Final)'!F29</f>
        <v>2</v>
      </c>
    </row>
    <row r="65" spans="3:5" ht="20.100000000000001" customHeight="1" x14ac:dyDescent="0.25">
      <c r="C65" s="5" t="str">
        <f>'DE (Final)'!E30</f>
        <v>Municipality/VDC</v>
      </c>
      <c r="D65" t="s">
        <v>7</v>
      </c>
      <c r="E65" s="13" t="str">
        <f>'DE (Final)'!F30</f>
        <v>Jiri Municipality</v>
      </c>
    </row>
    <row r="66" spans="3:5" ht="20.100000000000001" customHeight="1" x14ac:dyDescent="0.25">
      <c r="C66" s="5" t="str">
        <f>'DE (Final)'!E31</f>
        <v>District</v>
      </c>
      <c r="D66" t="s">
        <v>7</v>
      </c>
      <c r="E66" s="13" t="str">
        <f>'DE (Final)'!F31</f>
        <v>Dolakha</v>
      </c>
    </row>
    <row r="67" spans="3:5" ht="20.100000000000001" customHeight="1" x14ac:dyDescent="0.25">
      <c r="C67" t="str">
        <f>'DE (Final)'!E32</f>
        <v>Citizenship No.</v>
      </c>
      <c r="D67" t="s">
        <v>7</v>
      </c>
      <c r="E67" s="13" t="str">
        <f>'DE (Final)'!F32</f>
        <v>223036-272</v>
      </c>
    </row>
    <row r="68" spans="3:5" ht="20.100000000000001" customHeight="1" x14ac:dyDescent="0.25">
      <c r="C68" t="str">
        <f>'DE (Final)'!E33</f>
        <v>Issued Date</v>
      </c>
      <c r="D68" t="s">
        <v>7</v>
      </c>
      <c r="E68" s="13" t="str">
        <f>'DE (Final)'!F33</f>
        <v>2063/11/22</v>
      </c>
    </row>
    <row r="69" spans="3:5" ht="20.100000000000001" customHeight="1" x14ac:dyDescent="0.25">
      <c r="C69" t="str">
        <f>'DE (Final)'!E34</f>
        <v>Issued Office</v>
      </c>
      <c r="D69" t="s">
        <v>7</v>
      </c>
      <c r="E69" s="13" t="str">
        <f>'DE (Final)'!F34</f>
        <v>District Administration Office, Dolakha</v>
      </c>
    </row>
    <row r="70" spans="3:5" ht="20.100000000000001" customHeight="1" x14ac:dyDescent="0.25">
      <c r="C70" t="str">
        <f>'DE (Final)'!E35</f>
        <v>Husband's Name</v>
      </c>
      <c r="D70" t="s">
        <v>7</v>
      </c>
      <c r="E70" s="13" t="str">
        <f>'DE (Final)'!F35</f>
        <v>Mr. Ram Bahadur Khatri</v>
      </c>
    </row>
    <row r="71" spans="3:5" ht="20.100000000000001" customHeight="1" x14ac:dyDescent="0.25">
      <c r="C71" t="str">
        <f>'DE (Final)'!E36</f>
        <v>Father in Law's Name</v>
      </c>
      <c r="D71" t="s">
        <v>7</v>
      </c>
      <c r="E71" s="13" t="str">
        <f>'DE (Final)'!F36</f>
        <v>Mr. Chandra Bahadur Khatri</v>
      </c>
    </row>
    <row r="72" spans="3:5" ht="20.25" customHeight="1" x14ac:dyDescent="0.25">
      <c r="C72" t="str">
        <f>'DE (Final)'!E37</f>
        <v>Contact No.</v>
      </c>
      <c r="D72" t="s">
        <v>7</v>
      </c>
      <c r="E72" s="13">
        <f>'DE (Final)'!F37</f>
        <v>9851002598</v>
      </c>
    </row>
  </sheetData>
  <mergeCells count="1">
    <mergeCell ref="E27:I27"/>
  </mergeCells>
  <printOptions horizontalCentered="1" verticalCentered="1"/>
  <pageMargins left="0.70866141732283505" right="0.45866141700000002" top="0.74803149606299202" bottom="0.74803149606299202" header="0.31496062992126" footer="0.31496062992126"/>
  <pageSetup orientation="portrait" horizontalDpi="4294967293" r:id="rId1"/>
  <headerFooter>
    <oddFooter>&amp;R&amp;G</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sheetPr>
  <dimension ref="A1:I26"/>
  <sheetViews>
    <sheetView view="pageLayout" workbookViewId="0">
      <selection activeCell="F10" sqref="F10"/>
    </sheetView>
  </sheetViews>
  <sheetFormatPr defaultRowHeight="24.95" customHeight="1" x14ac:dyDescent="0.25"/>
  <cols>
    <col min="1" max="1" width="6.42578125" customWidth="1"/>
    <col min="2" max="3" width="12.28515625" customWidth="1"/>
    <col min="4" max="4" width="5.5703125" customWidth="1"/>
    <col min="5" max="5" width="2.42578125" customWidth="1"/>
    <col min="6" max="6" width="12.5703125" customWidth="1"/>
    <col min="7" max="7" width="13.5703125" customWidth="1"/>
    <col min="8" max="8" width="12.42578125" customWidth="1"/>
    <col min="9" max="9" width="11" customWidth="1"/>
    <col min="10" max="10" width="14.5703125" customWidth="1"/>
  </cols>
  <sheetData>
    <row r="1" spans="2:9" ht="24.95" customHeight="1" x14ac:dyDescent="0.35">
      <c r="B1" s="297" t="str">
        <f>TOC!C7</f>
        <v xml:space="preserve">d. Location of the Property </v>
      </c>
      <c r="C1" s="4"/>
      <c r="D1" s="4"/>
    </row>
    <row r="2" spans="2:9" ht="12" customHeight="1" x14ac:dyDescent="0.25"/>
    <row r="3" spans="2:9" ht="24.95" customHeight="1" x14ac:dyDescent="0.25">
      <c r="B3" t="s">
        <v>20</v>
      </c>
      <c r="E3" t="s">
        <v>7</v>
      </c>
      <c r="F3" s="13">
        <f>'DE (Final)'!C81</f>
        <v>298</v>
      </c>
    </row>
    <row r="4" spans="2:9" ht="15" x14ac:dyDescent="0.25">
      <c r="F4" s="13"/>
    </row>
    <row r="5" spans="2:9" s="68" customFormat="1" ht="24.95" customHeight="1" x14ac:dyDescent="0.25">
      <c r="B5" s="192" t="s">
        <v>6</v>
      </c>
    </row>
    <row r="6" spans="2:9" ht="24.95" customHeight="1" x14ac:dyDescent="0.25">
      <c r="B6" t="s">
        <v>451</v>
      </c>
      <c r="E6" t="s">
        <v>7</v>
      </c>
      <c r="F6" s="13">
        <f>'DE (Final)'!F83</f>
        <v>6</v>
      </c>
    </row>
    <row r="7" spans="2:9" ht="20.25" customHeight="1" x14ac:dyDescent="0.25">
      <c r="B7" t="s">
        <v>17</v>
      </c>
      <c r="E7" t="s">
        <v>7</v>
      </c>
      <c r="F7" s="13" t="str">
        <f>'DE (Final)'!C83</f>
        <v>Gokarneshwor Municipality</v>
      </c>
    </row>
    <row r="8" spans="2:9" ht="24.95" customHeight="1" x14ac:dyDescent="0.25">
      <c r="B8" s="13" t="s">
        <v>18</v>
      </c>
      <c r="E8" t="s">
        <v>7</v>
      </c>
      <c r="F8" t="str">
        <f>'DE (Final)'!F81</f>
        <v>Kathmandu</v>
      </c>
    </row>
    <row r="9" spans="2:9" ht="24.95" customHeight="1" x14ac:dyDescent="0.25">
      <c r="B9" t="s">
        <v>21</v>
      </c>
      <c r="E9" t="s">
        <v>7</v>
      </c>
      <c r="F9" t="str">
        <f>'DE (Final)'!C175</f>
        <v>Residential</v>
      </c>
    </row>
    <row r="10" spans="2:9" ht="24.95" customHeight="1" x14ac:dyDescent="0.25">
      <c r="B10" t="s">
        <v>22</v>
      </c>
      <c r="E10" t="s">
        <v>7</v>
      </c>
      <c r="F10" t="str">
        <f>'DE (Final)'!C106</f>
        <v>Regular</v>
      </c>
    </row>
    <row r="11" spans="2:9" ht="24.95" customHeight="1" x14ac:dyDescent="0.25">
      <c r="B11" t="s">
        <v>23</v>
      </c>
      <c r="E11" t="s">
        <v>7</v>
      </c>
      <c r="F11" t="str">
        <f>'DE (Final)'!C120</f>
        <v>Jorpati</v>
      </c>
    </row>
    <row r="12" spans="2:9" ht="29.25" customHeight="1" x14ac:dyDescent="0.25">
      <c r="B12" t="s">
        <v>450</v>
      </c>
      <c r="E12" t="s">
        <v>7</v>
      </c>
      <c r="F12" s="462" t="str">
        <f>TRIM(LEFT('DE (Final)'!C118,SEARCH("via",'DE (Final)'!C118)-1))</f>
        <v>300m North-West from Agricultural Development Bank, Jorpati Branch</v>
      </c>
      <c r="G12" s="462"/>
      <c r="H12" s="462"/>
      <c r="I12" s="462"/>
    </row>
    <row r="13" spans="2:9" ht="24.95" customHeight="1" x14ac:dyDescent="0.25">
      <c r="B13" t="s">
        <v>449</v>
      </c>
      <c r="E13" t="s">
        <v>7</v>
      </c>
      <c r="F13" t="s">
        <v>80</v>
      </c>
    </row>
    <row r="15" spans="2:9" ht="24.95" customHeight="1" x14ac:dyDescent="0.3">
      <c r="B15" s="4" t="s">
        <v>24</v>
      </c>
      <c r="C15" s="4"/>
      <c r="D15" s="4"/>
    </row>
    <row r="16" spans="2:9" ht="24.95" customHeight="1" x14ac:dyDescent="0.25">
      <c r="F16" s="7" t="s">
        <v>25</v>
      </c>
      <c r="G16" s="7" t="s">
        <v>297</v>
      </c>
      <c r="H16" s="7" t="s">
        <v>27</v>
      </c>
      <c r="I16" s="7" t="s">
        <v>458</v>
      </c>
    </row>
    <row r="17" spans="1:9" ht="24.95" customHeight="1" x14ac:dyDescent="0.25">
      <c r="B17" t="str">
        <f>summary!A10</f>
        <v>As per Lalpurja</v>
      </c>
      <c r="E17" t="s">
        <v>7</v>
      </c>
      <c r="F17" s="80">
        <f>summary!D10</f>
        <v>0</v>
      </c>
      <c r="G17" s="80">
        <f>summary!F10</f>
        <v>3</v>
      </c>
      <c r="H17" s="80">
        <f>summary!G10</f>
        <v>0</v>
      </c>
      <c r="I17" s="81">
        <f>summary!H10</f>
        <v>0</v>
      </c>
    </row>
    <row r="18" spans="1:9" ht="24.95" customHeight="1" x14ac:dyDescent="0.25">
      <c r="B18" t="str">
        <f>summary!A11</f>
        <v>As per Measurement</v>
      </c>
      <c r="E18" t="s">
        <v>7</v>
      </c>
      <c r="F18" s="80">
        <f>summary!D11</f>
        <v>0</v>
      </c>
      <c r="G18" s="80">
        <f>summary!F11</f>
        <v>2</v>
      </c>
      <c r="H18" s="80">
        <f>summary!G11</f>
        <v>3</v>
      </c>
      <c r="I18" s="81">
        <f>summary!H11</f>
        <v>3.35</v>
      </c>
    </row>
    <row r="19" spans="1:9" ht="24.95" customHeight="1" x14ac:dyDescent="0.25">
      <c r="B19" t="str">
        <f>summary!A12</f>
        <v>After Deduction</v>
      </c>
      <c r="F19" s="80">
        <f>summary!D12</f>
        <v>0</v>
      </c>
      <c r="G19" s="80">
        <f>summary!F12</f>
        <v>2</v>
      </c>
      <c r="H19" s="80">
        <f>summary!G12</f>
        <v>2</v>
      </c>
      <c r="I19" s="81">
        <f>summary!H12</f>
        <v>0.76</v>
      </c>
    </row>
    <row r="20" spans="1:9" ht="24.95" customHeight="1" x14ac:dyDescent="0.25">
      <c r="B20" s="13"/>
      <c r="C20" s="13"/>
      <c r="D20" s="13"/>
      <c r="F20" s="455" t="s">
        <v>30</v>
      </c>
      <c r="G20" s="456"/>
      <c r="H20" s="456"/>
      <c r="I20" s="457"/>
    </row>
    <row r="21" spans="1:9" ht="24.95" customHeight="1" x14ac:dyDescent="0.25">
      <c r="B21" s="13" t="s">
        <v>31</v>
      </c>
      <c r="C21" s="13"/>
      <c r="D21" s="13"/>
      <c r="E21" t="s">
        <v>7</v>
      </c>
      <c r="F21" s="80">
        <f>summary!D13</f>
        <v>0</v>
      </c>
      <c r="G21" s="80">
        <f>summary!F13</f>
        <v>2</v>
      </c>
      <c r="H21" s="80">
        <f>summary!G13</f>
        <v>2</v>
      </c>
      <c r="I21" s="81">
        <f>summary!H13</f>
        <v>0.76</v>
      </c>
    </row>
    <row r="23" spans="1:9" ht="16.5" customHeight="1" x14ac:dyDescent="0.35">
      <c r="B23" s="297" t="str">
        <f>TOC!C9</f>
        <v>f. Parameters of the Four Boundaries</v>
      </c>
      <c r="C23" s="4"/>
      <c r="D23" s="4"/>
    </row>
    <row r="24" spans="1:9" ht="21" customHeight="1" x14ac:dyDescent="0.25">
      <c r="A24" s="415" t="str">
        <f ca="1">"Certified By: "&amp;'DE (Final)'!C83&amp;", Ward Office-"&amp;'DE (Final)'!F83&amp;", Dated: "&amp;'DE (Final)'!C135&amp;" Ref: "&amp;'DE (Final)'!C137&amp;"-"&amp;'DE (Final)'!C4&amp;"."</f>
        <v>Certified By: Gokarneshwor Municipality, Ward Office-6, Dated: 2083/01/17 Ref: 1787-2082/83.</v>
      </c>
      <c r="B24" s="415"/>
      <c r="C24" s="415"/>
      <c r="D24" s="415"/>
      <c r="E24" s="415"/>
      <c r="F24" s="415"/>
      <c r="G24" s="415"/>
      <c r="H24" s="415"/>
      <c r="I24" s="415"/>
    </row>
    <row r="25" spans="1:9" ht="24.95" customHeight="1" x14ac:dyDescent="0.25">
      <c r="C25" s="458" t="s">
        <v>20</v>
      </c>
      <c r="D25" s="458"/>
      <c r="E25" s="458"/>
      <c r="F25" s="83" t="s">
        <v>32</v>
      </c>
      <c r="G25" s="83" t="s">
        <v>33</v>
      </c>
      <c r="H25" s="83" t="s">
        <v>34</v>
      </c>
      <c r="I25" s="83" t="s">
        <v>35</v>
      </c>
    </row>
    <row r="26" spans="1:9" ht="56.25" customHeight="1" x14ac:dyDescent="0.25">
      <c r="C26" s="459">
        <f>'DE (Final)'!C81</f>
        <v>298</v>
      </c>
      <c r="D26" s="460"/>
      <c r="E26" s="461"/>
      <c r="F26" s="71" t="str">
        <f>summary!C17</f>
        <v>Plot No. 114 &amp; 115</v>
      </c>
      <c r="G26" s="71" t="str">
        <f>summary!D17</f>
        <v>Plot No. 301 (Road)</v>
      </c>
      <c r="H26" s="71" t="str">
        <f>summary!G17</f>
        <v>Plot No. 299</v>
      </c>
      <c r="I26" s="71" t="str">
        <f>summary!I17</f>
        <v>Plot No. 297</v>
      </c>
    </row>
  </sheetData>
  <mergeCells count="5">
    <mergeCell ref="F20:I20"/>
    <mergeCell ref="C25:E25"/>
    <mergeCell ref="C26:E26"/>
    <mergeCell ref="F12:I12"/>
    <mergeCell ref="A24:I24"/>
  </mergeCells>
  <printOptions horizontalCentered="1" verticalCentered="1"/>
  <pageMargins left="0.70866141732283505" right="0.45866141700000002" top="0.74803149606299202" bottom="0.74803149606299202" header="0.31496062992126" footer="0.31496062992126"/>
  <pageSetup orientation="portrait" horizontalDpi="4294967293" r:id="rId1"/>
  <headerFooter>
    <oddFooter>&amp;R&amp;G</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B1:J9"/>
  <sheetViews>
    <sheetView view="pageLayout" workbookViewId="0">
      <selection activeCell="B2" sqref="B2:J2"/>
    </sheetView>
  </sheetViews>
  <sheetFormatPr defaultRowHeight="15" x14ac:dyDescent="0.25"/>
  <cols>
    <col min="1" max="1" width="6.28515625" customWidth="1"/>
    <col min="2" max="2" width="3.5703125" customWidth="1"/>
    <col min="11" max="11" width="6" customWidth="1"/>
  </cols>
  <sheetData>
    <row r="1" spans="2:10" ht="20.100000000000001" customHeight="1" x14ac:dyDescent="0.35">
      <c r="B1" s="297" t="str">
        <f>TOC!C10</f>
        <v>g. Importance of the Location</v>
      </c>
    </row>
    <row r="2" spans="2:10" ht="66.75" customHeight="1" x14ac:dyDescent="0.25">
      <c r="B2" s="464" t="str">
        <f>"The Property is located at "&amp;'DE (Final)'!C87&amp;". The site can be accessed from "&amp;
MID('DE (Final)'!C118,
    FIND("from ",'DE (Final)'!C118)+5,
    FIND(" via",'DE (Final)'!C118)-FIND("from ",'DE (Final)'!C118)-5)&amp;" and travelling around "&amp;'DE (Final)'!C118&amp;", We can reach this Property."</f>
        <v>The Property is located at Gokarneshwor Municipality-6 (Sabik Jorpati VDC-4), Kathmandu District. The site can be accessed from Agricultural Development Bank, Jorpati Branch and travelling around 300m North-West from Agricultural Development Bank, Jorpati Branch via Jorpati, We can reach this Property.</v>
      </c>
      <c r="C2" s="464"/>
      <c r="D2" s="464"/>
      <c r="E2" s="464"/>
      <c r="F2" s="464"/>
      <c r="G2" s="464"/>
      <c r="H2" s="464"/>
      <c r="I2" s="464"/>
      <c r="J2" s="464"/>
    </row>
    <row r="3" spans="2:10" ht="20.100000000000001" customHeight="1" x14ac:dyDescent="0.25">
      <c r="B3" s="10"/>
      <c r="C3" s="10"/>
      <c r="D3" s="10"/>
      <c r="E3" s="10"/>
      <c r="F3" s="10"/>
      <c r="G3" s="10"/>
      <c r="H3" s="10"/>
      <c r="I3" s="10"/>
      <c r="J3" s="10"/>
    </row>
    <row r="4" spans="2:10" ht="24.95" customHeight="1" x14ac:dyDescent="0.25">
      <c r="B4" s="44" t="s">
        <v>81</v>
      </c>
      <c r="C4" s="10"/>
      <c r="D4" s="10"/>
      <c r="E4" s="10"/>
      <c r="F4" s="10"/>
      <c r="G4" s="10"/>
      <c r="H4" s="10"/>
      <c r="I4" s="10"/>
      <c r="J4" s="10"/>
    </row>
    <row r="5" spans="2:10" ht="28.15" customHeight="1" x14ac:dyDescent="0.25">
      <c r="B5" s="10"/>
      <c r="C5" s="463" t="str">
        <f>summary!A31</f>
        <v>The Considered Site is residential area located at Jorpati.</v>
      </c>
      <c r="D5" s="463"/>
      <c r="E5" s="463"/>
      <c r="F5" s="463"/>
      <c r="G5" s="463"/>
      <c r="H5" s="463"/>
      <c r="I5" s="463"/>
      <c r="J5" s="463"/>
    </row>
    <row r="6" spans="2:10" ht="33" customHeight="1" x14ac:dyDescent="0.25">
      <c r="B6" s="10"/>
      <c r="C6" s="463" t="str">
        <f>summary!A32</f>
        <v>Approx. 300m North-West from Agricultural Development Bank, Jorpati Branch via Jorpati.</v>
      </c>
      <c r="D6" s="463"/>
      <c r="E6" s="463"/>
      <c r="F6" s="463"/>
      <c r="G6" s="463"/>
      <c r="H6" s="463"/>
      <c r="I6" s="463"/>
      <c r="J6" s="463"/>
    </row>
    <row r="7" spans="2:10" ht="28.15" customHeight="1" x14ac:dyDescent="0.25">
      <c r="B7" s="10"/>
      <c r="C7" s="463" t="str">
        <f>summary!A33</f>
        <v>Access Road to the considered site is from 10ft wide Concrete Slab Road at West Side.</v>
      </c>
      <c r="D7" s="463"/>
      <c r="E7" s="463"/>
      <c r="F7" s="463"/>
      <c r="G7" s="463"/>
      <c r="H7" s="463"/>
      <c r="I7" s="463"/>
      <c r="J7" s="463"/>
    </row>
    <row r="8" spans="2:10" ht="28.15" customHeight="1" x14ac:dyDescent="0.25">
      <c r="B8" s="10"/>
      <c r="C8" s="463" t="str">
        <f>summary!A34</f>
        <v>Public Transportation is 5min walking distance from the considered site.</v>
      </c>
      <c r="D8" s="463"/>
      <c r="E8" s="463"/>
      <c r="F8" s="463"/>
      <c r="G8" s="463"/>
      <c r="H8" s="463"/>
      <c r="I8" s="463"/>
      <c r="J8" s="463"/>
    </row>
    <row r="9" spans="2:10" ht="40.9" customHeight="1" x14ac:dyDescent="0.25">
      <c r="C9" s="463" t="str">
        <f>summary!A35</f>
        <v>Physical infrastructure services such as Water Supply Line, Sewerage Pipe Line, Electricity Line, Telephone Line, TV Cable are available in the considered site.</v>
      </c>
      <c r="D9" s="463"/>
      <c r="E9" s="463"/>
      <c r="F9" s="463"/>
      <c r="G9" s="463"/>
      <c r="H9" s="463"/>
      <c r="I9" s="463"/>
      <c r="J9" s="463"/>
    </row>
  </sheetData>
  <mergeCells count="6">
    <mergeCell ref="C9:J9"/>
    <mergeCell ref="B2:J2"/>
    <mergeCell ref="C5:J5"/>
    <mergeCell ref="C7:J7"/>
    <mergeCell ref="C8:J8"/>
    <mergeCell ref="C6:J6"/>
  </mergeCells>
  <printOptions horizontalCentered="1"/>
  <pageMargins left="0.70866141732283505" right="0.45866141700000002" top="0.74803149606299202" bottom="0.74803149606299202" header="0.31496062992126" footer="0.31496062992126"/>
  <pageSetup orientation="portrait" horizontalDpi="4294967293" r:id="rId1"/>
  <headerFooter>
    <oddFooter>&amp;R&amp;G</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sheetPr>
  <dimension ref="A1:F24"/>
  <sheetViews>
    <sheetView view="pageLayout" topLeftCell="A10" workbookViewId="0">
      <selection activeCell="P35" sqref="P35:P38"/>
    </sheetView>
  </sheetViews>
  <sheetFormatPr defaultRowHeight="15" x14ac:dyDescent="0.25"/>
  <cols>
    <col min="2" max="2" width="31.85546875" customWidth="1"/>
    <col min="3" max="3" width="3.85546875" customWidth="1"/>
    <col min="4" max="4" width="11.85546875" customWidth="1"/>
    <col min="5" max="5" width="26.42578125" style="9" customWidth="1"/>
    <col min="6" max="6" width="19.85546875" customWidth="1"/>
  </cols>
  <sheetData>
    <row r="1" spans="1:6" ht="20.100000000000001" customHeight="1" x14ac:dyDescent="0.35">
      <c r="A1" s="297" t="str">
        <f>TOC!C11</f>
        <v>h. Description of the Property</v>
      </c>
      <c r="B1" s="8"/>
      <c r="C1" s="8"/>
      <c r="D1" s="8"/>
      <c r="E1" s="292"/>
      <c r="F1" s="8"/>
    </row>
    <row r="2" spans="1:6" ht="20.100000000000001" customHeight="1" x14ac:dyDescent="0.25">
      <c r="A2" s="49"/>
      <c r="B2" s="298" t="s">
        <v>102</v>
      </c>
      <c r="C2" s="46"/>
      <c r="D2" s="46"/>
      <c r="E2" s="293"/>
      <c r="F2" s="46"/>
    </row>
    <row r="3" spans="1:6" ht="20.100000000000001" customHeight="1" x14ac:dyDescent="0.25">
      <c r="A3" s="45"/>
      <c r="B3" s="46"/>
      <c r="C3" s="46"/>
      <c r="D3" s="46"/>
      <c r="E3" s="293"/>
      <c r="F3" s="46"/>
    </row>
    <row r="4" spans="1:6" ht="24.95" customHeight="1" x14ac:dyDescent="0.25">
      <c r="A4" s="73">
        <v>1</v>
      </c>
      <c r="B4" s="47" t="s">
        <v>37</v>
      </c>
      <c r="C4" s="46"/>
      <c r="D4" s="48" t="s">
        <v>7</v>
      </c>
      <c r="E4" s="65" t="str">
        <f>'Legal Aspects'!E12</f>
        <v>Joint</v>
      </c>
      <c r="F4" s="46"/>
    </row>
    <row r="5" spans="1:6" ht="24.95" customHeight="1" x14ac:dyDescent="0.25">
      <c r="A5" s="73">
        <v>2</v>
      </c>
      <c r="B5" s="47" t="s">
        <v>38</v>
      </c>
      <c r="C5" s="46"/>
      <c r="D5" s="48" t="s">
        <v>7</v>
      </c>
      <c r="E5" s="65" t="str">
        <f>'DE (Final)'!C106</f>
        <v>Regular</v>
      </c>
      <c r="F5" s="46"/>
    </row>
    <row r="6" spans="1:6" ht="24.95" customHeight="1" x14ac:dyDescent="0.25">
      <c r="A6" s="73">
        <v>3</v>
      </c>
      <c r="B6" s="47" t="s">
        <v>40</v>
      </c>
      <c r="C6" s="46"/>
      <c r="D6" s="48" t="s">
        <v>7</v>
      </c>
      <c r="E6" s="65" t="s">
        <v>41</v>
      </c>
      <c r="F6" s="46"/>
    </row>
    <row r="7" spans="1:6" ht="24.95" customHeight="1" x14ac:dyDescent="0.25">
      <c r="A7" s="73">
        <v>4</v>
      </c>
      <c r="B7" s="47" t="s">
        <v>42</v>
      </c>
      <c r="C7" s="48"/>
      <c r="D7" s="48" t="s">
        <v>7</v>
      </c>
      <c r="E7" s="65" t="str">
        <f>'DE (Final)'!C108</f>
        <v>Plain</v>
      </c>
      <c r="F7" s="48"/>
    </row>
    <row r="8" spans="1:6" ht="24.95" customHeight="1" x14ac:dyDescent="0.25">
      <c r="A8" s="73">
        <v>5</v>
      </c>
      <c r="B8" s="47" t="s">
        <v>43</v>
      </c>
      <c r="C8" s="48"/>
      <c r="D8" s="48" t="s">
        <v>7</v>
      </c>
      <c r="E8" s="65" t="s">
        <v>44</v>
      </c>
      <c r="F8" s="48"/>
    </row>
    <row r="9" spans="1:6" ht="24.95" customHeight="1" x14ac:dyDescent="0.25">
      <c r="A9" s="73">
        <v>6</v>
      </c>
      <c r="B9" s="47" t="s">
        <v>20</v>
      </c>
      <c r="C9" s="48"/>
      <c r="D9" s="48" t="s">
        <v>7</v>
      </c>
      <c r="E9" s="294">
        <f>'DE (Final)'!C81</f>
        <v>298</v>
      </c>
      <c r="F9" s="48"/>
    </row>
    <row r="10" spans="1:6" ht="30" x14ac:dyDescent="0.25">
      <c r="A10" s="73">
        <v>7</v>
      </c>
      <c r="B10" s="47" t="s">
        <v>224</v>
      </c>
      <c r="C10" s="48"/>
      <c r="D10" s="48" t="s">
        <v>7</v>
      </c>
      <c r="E10" s="65" t="str">
        <f>'DE (Final)'!C110</f>
        <v>10ft wide Road at West Side</v>
      </c>
      <c r="F10" s="48"/>
    </row>
    <row r="11" spans="1:6" ht="30" x14ac:dyDescent="0.25">
      <c r="A11" s="73">
        <v>8</v>
      </c>
      <c r="B11" s="47" t="s">
        <v>225</v>
      </c>
      <c r="C11" s="48"/>
      <c r="D11" s="48" t="s">
        <v>7</v>
      </c>
      <c r="E11" s="65" t="str">
        <f>'DE (Final)'!C112</f>
        <v>10ft wide Concrete Slab Road at West Side</v>
      </c>
      <c r="F11" s="48"/>
    </row>
    <row r="12" spans="1:6" ht="24.95" customHeight="1" x14ac:dyDescent="0.25">
      <c r="A12" s="73">
        <v>9</v>
      </c>
      <c r="B12" s="47" t="s">
        <v>223</v>
      </c>
      <c r="C12" s="48"/>
      <c r="D12" s="48" t="s">
        <v>7</v>
      </c>
      <c r="E12" s="65" t="str">
        <f>'DE (Final)'!C114</f>
        <v>28'-00" wide</v>
      </c>
      <c r="F12" s="48"/>
    </row>
    <row r="13" spans="1:6" ht="24.95" customHeight="1" x14ac:dyDescent="0.25">
      <c r="A13" s="73">
        <v>10</v>
      </c>
      <c r="B13" s="47" t="s">
        <v>226</v>
      </c>
      <c r="C13" s="48"/>
      <c r="D13" s="48" t="s">
        <v>7</v>
      </c>
      <c r="E13" s="65" t="str">
        <f>'DE (Final)'!C116</f>
        <v>28'-00" West Side</v>
      </c>
      <c r="F13" s="48"/>
    </row>
    <row r="14" spans="1:6" ht="24.95" customHeight="1" x14ac:dyDescent="0.25">
      <c r="A14" s="73">
        <v>11</v>
      </c>
      <c r="B14" s="47" t="s">
        <v>45</v>
      </c>
      <c r="C14" s="48"/>
      <c r="D14" s="48" t="s">
        <v>7</v>
      </c>
      <c r="E14" s="65" t="s">
        <v>539</v>
      </c>
      <c r="F14" s="48"/>
    </row>
    <row r="15" spans="1:6" ht="24.95" customHeight="1" x14ac:dyDescent="0.25">
      <c r="A15" s="73">
        <v>12</v>
      </c>
      <c r="B15" s="47" t="s">
        <v>46</v>
      </c>
      <c r="C15" s="48"/>
      <c r="D15" s="48" t="s">
        <v>7</v>
      </c>
      <c r="E15" s="65" t="str">
        <f>IF('DE (Final)'!C145,"Yes","No")</f>
        <v>Yes</v>
      </c>
      <c r="F15" s="48"/>
    </row>
    <row r="16" spans="1:6" ht="24.95" customHeight="1" x14ac:dyDescent="0.25">
      <c r="A16" s="73">
        <v>13</v>
      </c>
      <c r="B16" s="47" t="s">
        <v>142</v>
      </c>
      <c r="C16" s="48"/>
      <c r="D16" s="48" t="s">
        <v>7</v>
      </c>
      <c r="E16" s="65" t="str">
        <f>IF('DE (Final)'!C143,"Yes","No")</f>
        <v>Yes</v>
      </c>
      <c r="F16" s="48"/>
    </row>
    <row r="17" spans="1:6" ht="24.95" customHeight="1" x14ac:dyDescent="0.25">
      <c r="A17" s="73">
        <v>14</v>
      </c>
      <c r="B17" s="47" t="s">
        <v>143</v>
      </c>
      <c r="C17" s="48"/>
      <c r="D17" s="48" t="s">
        <v>7</v>
      </c>
      <c r="E17" s="65" t="str">
        <f>IF('DE (Final)'!C147,"Yes","No")</f>
        <v>Yes</v>
      </c>
      <c r="F17" s="48"/>
    </row>
    <row r="18" spans="1:6" ht="24.95" customHeight="1" x14ac:dyDescent="0.25">
      <c r="A18" s="73">
        <v>15</v>
      </c>
      <c r="B18" s="47" t="s">
        <v>48</v>
      </c>
      <c r="C18" s="48"/>
      <c r="D18" s="48" t="s">
        <v>7</v>
      </c>
      <c r="E18" s="65" t="str">
        <f>'DE (Final)'!C175</f>
        <v>Residential</v>
      </c>
      <c r="F18" s="48"/>
    </row>
    <row r="19" spans="1:6" ht="37.9" customHeight="1" x14ac:dyDescent="0.25">
      <c r="A19" s="73">
        <v>16</v>
      </c>
      <c r="B19" s="47" t="s">
        <v>49</v>
      </c>
      <c r="C19" s="48"/>
      <c r="D19" s="48" t="s">
        <v>7</v>
      </c>
      <c r="E19" s="65" t="str">
        <f>IF('DE (Final)'!C156,"Yes","No")</f>
        <v>No</v>
      </c>
      <c r="F19" s="48"/>
    </row>
    <row r="20" spans="1:6" ht="60.75" customHeight="1" x14ac:dyDescent="0.25">
      <c r="A20" s="73">
        <v>17</v>
      </c>
      <c r="B20" s="47" t="s">
        <v>51</v>
      </c>
      <c r="C20" s="48"/>
      <c r="D20" s="48" t="s">
        <v>7</v>
      </c>
      <c r="E20" s="304" t="str">
        <f>'DE (Final)'!C87</f>
        <v>Gokarneshwor Municipality-6 (Sabik Jorpati VDC-4), Kathmandu District</v>
      </c>
      <c r="F20" s="65"/>
    </row>
    <row r="21" spans="1:6" ht="29.25" customHeight="1" x14ac:dyDescent="0.25">
      <c r="A21" s="73">
        <v>18</v>
      </c>
      <c r="B21" s="47" t="s">
        <v>52</v>
      </c>
      <c r="C21" s="48"/>
      <c r="D21" s="48" t="s">
        <v>7</v>
      </c>
      <c r="E21" s="65" t="s">
        <v>44</v>
      </c>
      <c r="F21" s="65"/>
    </row>
    <row r="22" spans="1:6" ht="29.25" customHeight="1" x14ac:dyDescent="0.25">
      <c r="A22" s="73">
        <v>19</v>
      </c>
      <c r="B22" s="47" t="s">
        <v>53</v>
      </c>
      <c r="C22" s="48"/>
      <c r="D22" s="48" t="s">
        <v>7</v>
      </c>
      <c r="E22" s="65" t="s">
        <v>44</v>
      </c>
      <c r="F22" s="65"/>
    </row>
    <row r="23" spans="1:6" ht="22.15" customHeight="1" x14ac:dyDescent="0.25">
      <c r="A23" s="73"/>
      <c r="B23" s="47"/>
      <c r="C23" s="48"/>
      <c r="D23" s="48"/>
      <c r="E23" s="65"/>
      <c r="F23" s="48"/>
    </row>
    <row r="24" spans="1:6" x14ac:dyDescent="0.25">
      <c r="A24" s="73"/>
      <c r="B24" s="47"/>
      <c r="C24" s="48"/>
      <c r="D24" s="48"/>
      <c r="E24" s="65"/>
      <c r="F24" s="48"/>
    </row>
  </sheetData>
  <printOptions horizontalCentered="1" verticalCentered="1"/>
  <pageMargins left="0.70866141732283505" right="0.45866141700000002" top="0.74803149606299202" bottom="0.74803149606299202" header="0.31496062992126" footer="0.31496062992126"/>
  <pageSetup orientation="portrait" horizontalDpi="4294967293" r:id="rId1"/>
  <headerFooter>
    <oddFooter>&amp;R&amp;G</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sheetPr>
  <dimension ref="A2:G57"/>
  <sheetViews>
    <sheetView showWhiteSpace="0" view="pageLayout" topLeftCell="A7" workbookViewId="0">
      <selection activeCell="N25" sqref="N25"/>
    </sheetView>
  </sheetViews>
  <sheetFormatPr defaultRowHeight="15" x14ac:dyDescent="0.25"/>
  <cols>
    <col min="1" max="2" width="8.85546875" style="10"/>
    <col min="3" max="3" width="30" style="10" customWidth="1"/>
    <col min="4" max="4" width="8.85546875" style="10"/>
    <col min="5" max="5" width="10.140625" style="10" bestFit="1" customWidth="1"/>
    <col min="6" max="7" width="8.85546875" style="10"/>
  </cols>
  <sheetData>
    <row r="2" spans="2:7" ht="18.75" x14ac:dyDescent="0.25">
      <c r="B2" s="283" t="str">
        <f>TOC!B14</f>
        <v>2. Legal Aspects of the Property</v>
      </c>
    </row>
    <row r="3" spans="2:7" ht="15.75" customHeight="1" x14ac:dyDescent="0.25">
      <c r="B3" s="463" t="str">
        <f>"A number of local people and landowners in the vicinity were interviewed and to the best of our knowledge, no legal dispute has been recorded. "
&amp;"Ownership of property has been verified on the basis of Title Deed Certificate (Lalpurja), interview with Client and the Local People during the field survey in "
&amp;TEXT('DE (Tentative)'!C4,"mmm dd, yyyy")&amp;"."</f>
        <v>A number of local people and landowners in the vicinity were interviewed and to the best of our knowledge, no legal dispute has been recorded. Ownership of property has been verified on the basis of Title Deed Certificate (Lalpurja), interview with Client and the Local People during the field survey in Apr 30, 2026.</v>
      </c>
      <c r="C3" s="463"/>
      <c r="D3" s="463"/>
      <c r="E3" s="463"/>
      <c r="F3" s="463"/>
      <c r="G3" s="463"/>
    </row>
    <row r="4" spans="2:7" x14ac:dyDescent="0.25">
      <c r="B4" s="463"/>
      <c r="C4" s="463"/>
      <c r="D4" s="463"/>
      <c r="E4" s="463"/>
      <c r="F4" s="463"/>
      <c r="G4" s="463"/>
    </row>
    <row r="5" spans="2:7" x14ac:dyDescent="0.25">
      <c r="B5" s="463"/>
      <c r="C5" s="463"/>
      <c r="D5" s="463"/>
      <c r="E5" s="463"/>
      <c r="F5" s="463"/>
      <c r="G5" s="463"/>
    </row>
    <row r="6" spans="2:7" x14ac:dyDescent="0.25">
      <c r="B6" s="463"/>
      <c r="C6" s="463"/>
      <c r="D6" s="463"/>
      <c r="E6" s="463"/>
      <c r="F6" s="463"/>
      <c r="G6" s="463"/>
    </row>
    <row r="7" spans="2:7" x14ac:dyDescent="0.25">
      <c r="B7" s="465" t="s">
        <v>54</v>
      </c>
      <c r="C7" s="465"/>
      <c r="D7" s="465"/>
      <c r="E7" s="465"/>
      <c r="F7" s="465"/>
      <c r="G7" s="465"/>
    </row>
    <row r="8" spans="2:7" ht="14.45" customHeight="1" x14ac:dyDescent="0.25">
      <c r="B8" s="465"/>
      <c r="C8" s="465"/>
      <c r="D8" s="465"/>
      <c r="E8" s="465"/>
      <c r="F8" s="465"/>
      <c r="G8" s="465"/>
    </row>
    <row r="9" spans="2:7" ht="9" customHeight="1" x14ac:dyDescent="0.25">
      <c r="B9" s="254"/>
      <c r="C9" s="254"/>
      <c r="D9" s="254"/>
      <c r="E9" s="254"/>
      <c r="F9" s="254"/>
      <c r="G9" s="254"/>
    </row>
    <row r="10" spans="2:7" ht="15.75" x14ac:dyDescent="0.25">
      <c r="B10" s="183" t="s">
        <v>101</v>
      </c>
      <c r="C10" s="16"/>
      <c r="D10" s="16"/>
      <c r="E10" s="16"/>
    </row>
    <row r="11" spans="2:7" x14ac:dyDescent="0.25">
      <c r="B11" s="10" t="s">
        <v>55</v>
      </c>
    </row>
    <row r="12" spans="2:7" x14ac:dyDescent="0.25">
      <c r="B12" s="10" t="s">
        <v>56</v>
      </c>
      <c r="C12" s="10" t="s">
        <v>57</v>
      </c>
      <c r="D12" s="10" t="s">
        <v>7</v>
      </c>
      <c r="E12" s="285" t="str">
        <f>'DE (Final)'!C177</f>
        <v>Joint</v>
      </c>
    </row>
    <row r="13" spans="2:7" x14ac:dyDescent="0.25">
      <c r="B13" s="10" t="s">
        <v>58</v>
      </c>
      <c r="C13" s="10" t="s">
        <v>59</v>
      </c>
      <c r="D13" s="10" t="s">
        <v>7</v>
      </c>
      <c r="E13" s="10" t="str">
        <f>'DE (Final)'!C179</f>
        <v>Freehold</v>
      </c>
    </row>
    <row r="14" spans="2:7" ht="32.25" customHeight="1" x14ac:dyDescent="0.25">
      <c r="B14" s="10" t="s">
        <v>61</v>
      </c>
      <c r="C14" s="10" t="s">
        <v>62</v>
      </c>
      <c r="D14" s="10" t="s">
        <v>7</v>
      </c>
      <c r="E14" s="463" t="str">
        <f>'DE (Final)'!F14&amp;" &amp; "&amp;'DE (Final)'!F27</f>
        <v>Mr. Ram Bahadur Khatri &amp; Mrs. Saru Khatri</v>
      </c>
      <c r="F14" s="463"/>
      <c r="G14" s="463"/>
    </row>
    <row r="15" spans="2:7" x14ac:dyDescent="0.25">
      <c r="B15" s="10" t="s">
        <v>63</v>
      </c>
      <c r="C15" s="10" t="s">
        <v>66</v>
      </c>
      <c r="D15" s="10" t="s">
        <v>7</v>
      </c>
      <c r="E15" s="10" t="s">
        <v>67</v>
      </c>
    </row>
    <row r="16" spans="2:7" ht="9" customHeight="1" x14ac:dyDescent="0.25">
      <c r="B16" s="254"/>
      <c r="C16" s="254"/>
      <c r="D16" s="254"/>
      <c r="E16" s="254"/>
      <c r="F16" s="254"/>
      <c r="G16" s="254"/>
    </row>
    <row r="17" spans="2:7" x14ac:dyDescent="0.25">
      <c r="B17" s="284" t="s">
        <v>68</v>
      </c>
    </row>
    <row r="18" spans="2:7" ht="30" x14ac:dyDescent="0.25">
      <c r="B18" s="10" t="s">
        <v>56</v>
      </c>
      <c r="C18" s="16" t="s">
        <v>247</v>
      </c>
      <c r="D18" s="10" t="s">
        <v>7</v>
      </c>
      <c r="E18" s="10" t="str">
        <f>IF(OR('DE (Final)'!C100="",'DE (Final)'!C100="-"),"No","Yes")</f>
        <v>Yes</v>
      </c>
    </row>
    <row r="19" spans="2:7" x14ac:dyDescent="0.25">
      <c r="B19" s="10" t="s">
        <v>58</v>
      </c>
      <c r="C19" s="16" t="s">
        <v>106</v>
      </c>
      <c r="D19" s="10" t="s">
        <v>7</v>
      </c>
      <c r="E19" s="282" t="s">
        <v>540</v>
      </c>
    </row>
    <row r="20" spans="2:7" x14ac:dyDescent="0.25">
      <c r="B20" s="10" t="s">
        <v>61</v>
      </c>
      <c r="C20" s="16" t="s">
        <v>66</v>
      </c>
      <c r="D20" s="10" t="s">
        <v>7</v>
      </c>
      <c r="E20" s="285" t="s">
        <v>67</v>
      </c>
    </row>
    <row r="21" spans="2:7" ht="9" customHeight="1" x14ac:dyDescent="0.25">
      <c r="B21" s="254"/>
      <c r="C21" s="254"/>
      <c r="D21" s="254"/>
      <c r="E21" s="254"/>
      <c r="F21" s="254"/>
      <c r="G21" s="254"/>
    </row>
    <row r="22" spans="2:7" x14ac:dyDescent="0.25">
      <c r="B22" s="284" t="s">
        <v>69</v>
      </c>
    </row>
    <row r="23" spans="2:7" x14ac:dyDescent="0.25">
      <c r="B23" s="10" t="s">
        <v>56</v>
      </c>
      <c r="C23" s="10" t="s">
        <v>246</v>
      </c>
      <c r="D23" s="10" t="s">
        <v>7</v>
      </c>
      <c r="E23" s="10" t="str">
        <f>'DE (Final)'!C92</f>
        <v>Sale</v>
      </c>
    </row>
    <row r="24" spans="2:7" x14ac:dyDescent="0.25">
      <c r="B24" s="10" t="s">
        <v>58</v>
      </c>
      <c r="C24" s="10" t="s">
        <v>70</v>
      </c>
      <c r="D24" s="10" t="s">
        <v>7</v>
      </c>
      <c r="E24" s="288" t="s">
        <v>523</v>
      </c>
    </row>
    <row r="25" spans="2:7" ht="60" x14ac:dyDescent="0.25">
      <c r="B25" s="286" t="s">
        <v>61</v>
      </c>
      <c r="C25" s="12" t="s">
        <v>245</v>
      </c>
      <c r="D25" s="10" t="s">
        <v>7</v>
      </c>
      <c r="E25" s="289" t="str">
        <f>'DE (Final)'!C98</f>
        <v>Yes</v>
      </c>
    </row>
    <row r="26" spans="2:7" x14ac:dyDescent="0.25">
      <c r="B26" s="10" t="s">
        <v>63</v>
      </c>
      <c r="C26" s="10" t="s">
        <v>66</v>
      </c>
      <c r="D26" s="10" t="s">
        <v>7</v>
      </c>
      <c r="E26" s="10" t="s">
        <v>67</v>
      </c>
    </row>
    <row r="27" spans="2:7" ht="9" customHeight="1" x14ac:dyDescent="0.25">
      <c r="B27" s="254"/>
      <c r="C27" s="254"/>
      <c r="D27" s="254"/>
      <c r="E27" s="254"/>
      <c r="F27" s="254"/>
      <c r="G27" s="254"/>
    </row>
    <row r="28" spans="2:7" x14ac:dyDescent="0.25">
      <c r="B28" s="284" t="s">
        <v>71</v>
      </c>
    </row>
    <row r="29" spans="2:7" x14ac:dyDescent="0.25">
      <c r="B29" s="10" t="s">
        <v>56</v>
      </c>
      <c r="C29" s="10" t="s">
        <v>72</v>
      </c>
      <c r="D29" s="10" t="s">
        <v>7</v>
      </c>
      <c r="E29" s="10" t="s">
        <v>47</v>
      </c>
    </row>
    <row r="30" spans="2:7" ht="47.25" customHeight="1" x14ac:dyDescent="0.25">
      <c r="B30" s="10" t="s">
        <v>58</v>
      </c>
      <c r="C30" s="16" t="s">
        <v>73</v>
      </c>
      <c r="E30" s="10" t="str">
        <f>'DE (Final)'!C124</f>
        <v>Yes</v>
      </c>
    </row>
    <row r="31" spans="2:7" ht="30" x14ac:dyDescent="0.25">
      <c r="B31" s="16" t="s">
        <v>61</v>
      </c>
      <c r="C31" s="12" t="s">
        <v>74</v>
      </c>
      <c r="D31" s="10" t="s">
        <v>7</v>
      </c>
      <c r="E31" s="10" t="s">
        <v>47</v>
      </c>
    </row>
    <row r="32" spans="2:7" x14ac:dyDescent="0.25">
      <c r="B32" s="10" t="s">
        <v>63</v>
      </c>
      <c r="C32" s="12" t="s">
        <v>66</v>
      </c>
      <c r="D32" s="10" t="s">
        <v>7</v>
      </c>
      <c r="E32" s="10" t="s">
        <v>67</v>
      </c>
    </row>
    <row r="33" spans="2:5" x14ac:dyDescent="0.25">
      <c r="B33" s="16"/>
      <c r="C33" s="12"/>
    </row>
    <row r="34" spans="2:5" ht="75" x14ac:dyDescent="0.25">
      <c r="B34" s="16" t="s">
        <v>64</v>
      </c>
      <c r="C34" s="12" t="s">
        <v>75</v>
      </c>
      <c r="D34" s="10" t="s">
        <v>7</v>
      </c>
      <c r="E34" s="10" t="str">
        <f>IF(summary!I11&gt;summary!I10,"Increased","Decreased")</f>
        <v>Decreased</v>
      </c>
    </row>
    <row r="35" spans="2:5" x14ac:dyDescent="0.25">
      <c r="B35" s="16" t="s">
        <v>65</v>
      </c>
      <c r="C35" s="12" t="s">
        <v>66</v>
      </c>
      <c r="D35" s="10" t="s">
        <v>7</v>
      </c>
      <c r="E35" s="10" t="s">
        <v>67</v>
      </c>
    </row>
    <row r="36" spans="2:5" x14ac:dyDescent="0.25">
      <c r="B36" s="16"/>
      <c r="C36" s="12"/>
    </row>
    <row r="37" spans="2:5" x14ac:dyDescent="0.25">
      <c r="B37" s="16"/>
      <c r="C37" s="12"/>
    </row>
    <row r="38" spans="2:5" x14ac:dyDescent="0.25">
      <c r="B38" s="16"/>
      <c r="C38" s="12"/>
    </row>
    <row r="39" spans="2:5" x14ac:dyDescent="0.25">
      <c r="B39" s="16"/>
      <c r="C39" s="12"/>
    </row>
    <row r="40" spans="2:5" x14ac:dyDescent="0.25">
      <c r="B40" s="16"/>
      <c r="C40" s="12"/>
    </row>
    <row r="41" spans="2:5" ht="25.5" x14ac:dyDescent="0.25">
      <c r="B41" s="16"/>
      <c r="C41" s="291" t="s">
        <v>440</v>
      </c>
    </row>
    <row r="42" spans="2:5" ht="30" x14ac:dyDescent="0.25">
      <c r="B42" s="16" t="s">
        <v>56</v>
      </c>
      <c r="C42" s="16" t="s">
        <v>104</v>
      </c>
      <c r="D42" s="10" t="s">
        <v>7</v>
      </c>
      <c r="E42" s="10" t="str">
        <f>IF(OR('DE (Final)'!C135="",'DE (Final)'!C135="-"),"No","Yes")</f>
        <v>Yes</v>
      </c>
    </row>
    <row r="43" spans="2:5" x14ac:dyDescent="0.25">
      <c r="B43" s="16" t="s">
        <v>58</v>
      </c>
      <c r="C43" s="12" t="s">
        <v>105</v>
      </c>
      <c r="D43" s="10" t="s">
        <v>7</v>
      </c>
      <c r="E43" s="290" t="str">
        <f>'DE (Final)'!C135</f>
        <v>2083/01/17</v>
      </c>
    </row>
    <row r="44" spans="2:5" x14ac:dyDescent="0.25">
      <c r="B44" s="16" t="s">
        <v>61</v>
      </c>
      <c r="C44" s="12" t="s">
        <v>66</v>
      </c>
      <c r="D44" s="10" t="s">
        <v>7</v>
      </c>
      <c r="E44" s="10" t="s">
        <v>67</v>
      </c>
    </row>
    <row r="45" spans="2:5" x14ac:dyDescent="0.25">
      <c r="B45" s="16"/>
      <c r="C45" s="12"/>
    </row>
    <row r="46" spans="2:5" x14ac:dyDescent="0.25">
      <c r="B46" s="16"/>
      <c r="C46" s="12"/>
    </row>
    <row r="47" spans="2:5" x14ac:dyDescent="0.25">
      <c r="B47" s="16"/>
      <c r="C47" s="287" t="s">
        <v>41</v>
      </c>
    </row>
    <row r="48" spans="2:5" ht="30" x14ac:dyDescent="0.25">
      <c r="B48" s="16" t="s">
        <v>56</v>
      </c>
      <c r="C48" s="16" t="s">
        <v>76</v>
      </c>
      <c r="D48" s="10" t="s">
        <v>7</v>
      </c>
      <c r="E48" s="10" t="str">
        <f>IF(ISNUMBER(SEARCH("no",LOWER('DE (Final)'!C112))),"No","Yes")</f>
        <v>Yes</v>
      </c>
    </row>
    <row r="49" spans="2:5" ht="60" customHeight="1" x14ac:dyDescent="0.25">
      <c r="B49" s="16" t="s">
        <v>58</v>
      </c>
      <c r="C49" s="286" t="s">
        <v>77</v>
      </c>
      <c r="D49" s="10" t="s">
        <v>7</v>
      </c>
      <c r="E49" s="10" t="s">
        <v>50</v>
      </c>
    </row>
    <row r="50" spans="2:5" ht="46.9" customHeight="1" x14ac:dyDescent="0.25">
      <c r="B50" s="16" t="s">
        <v>61</v>
      </c>
      <c r="C50" s="16" t="s">
        <v>78</v>
      </c>
      <c r="D50" s="10" t="s">
        <v>7</v>
      </c>
      <c r="E50" s="10" t="s">
        <v>47</v>
      </c>
    </row>
    <row r="51" spans="2:5" x14ac:dyDescent="0.25">
      <c r="B51" s="16" t="s">
        <v>63</v>
      </c>
      <c r="C51" s="286" t="s">
        <v>66</v>
      </c>
      <c r="D51" s="10" t="s">
        <v>7</v>
      </c>
      <c r="E51" s="10" t="s">
        <v>67</v>
      </c>
    </row>
    <row r="52" spans="2:5" x14ac:dyDescent="0.25">
      <c r="C52" s="286"/>
    </row>
    <row r="53" spans="2:5" ht="15.75" hidden="1" x14ac:dyDescent="0.25">
      <c r="B53" s="110" t="s">
        <v>145</v>
      </c>
    </row>
    <row r="54" spans="2:5" ht="15.75" hidden="1" x14ac:dyDescent="0.25">
      <c r="B54" s="64">
        <v>1</v>
      </c>
      <c r="C54" s="280" t="s">
        <v>147</v>
      </c>
      <c r="E54" s="10" t="s">
        <v>47</v>
      </c>
    </row>
    <row r="55" spans="2:5" ht="15.75" hidden="1" x14ac:dyDescent="0.25">
      <c r="B55" s="64">
        <v>2</v>
      </c>
      <c r="C55" s="280" t="s">
        <v>148</v>
      </c>
      <c r="E55" s="10" t="s">
        <v>47</v>
      </c>
    </row>
    <row r="56" spans="2:5" hidden="1" x14ac:dyDescent="0.25">
      <c r="B56" s="64">
        <v>3</v>
      </c>
      <c r="C56" s="10" t="s">
        <v>149</v>
      </c>
      <c r="E56" s="10" t="s">
        <v>44</v>
      </c>
    </row>
    <row r="57" spans="2:5" ht="15.75" hidden="1" x14ac:dyDescent="0.25">
      <c r="B57" s="64">
        <v>4</v>
      </c>
      <c r="C57" s="280" t="s">
        <v>150</v>
      </c>
      <c r="E57" s="10" t="s">
        <v>44</v>
      </c>
    </row>
  </sheetData>
  <mergeCells count="3">
    <mergeCell ref="B3:G6"/>
    <mergeCell ref="E14:G14"/>
    <mergeCell ref="B7:G8"/>
  </mergeCells>
  <printOptions horizontalCentered="1" verticalCentered="1"/>
  <pageMargins left="0.70866141732283505" right="0.45866141700000002" top="0.74803149606299202" bottom="0.74803149606299202" header="0.31496062992126" footer="0.31496062992126"/>
  <pageSetup orientation="portrait" horizontalDpi="4294967293" r:id="rId1"/>
  <headerFooter>
    <oddFooter>&amp;R&amp;G</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sheetPr>
  <dimension ref="A1:R37"/>
  <sheetViews>
    <sheetView view="pageBreakPreview" topLeftCell="A16" zoomScaleNormal="100" zoomScaleSheetLayoutView="100" workbookViewId="0">
      <selection activeCell="P35" sqref="P35:P38"/>
    </sheetView>
  </sheetViews>
  <sheetFormatPr defaultColWidth="8.85546875" defaultRowHeight="15" x14ac:dyDescent="0.25"/>
  <cols>
    <col min="1" max="1" width="5.42578125" customWidth="1"/>
    <col min="2" max="2" width="35.7109375" customWidth="1"/>
    <col min="3" max="3" width="4.28515625" customWidth="1"/>
    <col min="4" max="4" width="11.5703125" customWidth="1"/>
    <col min="5" max="5" width="4.42578125" customWidth="1"/>
    <col min="6" max="6" width="18.28515625" customWidth="1"/>
    <col min="7" max="7" width="4.42578125" customWidth="1"/>
    <col min="8" max="8" width="3.7109375" customWidth="1"/>
    <col min="9" max="9" width="3.28515625" customWidth="1"/>
    <col min="10" max="10" width="3.5703125" customWidth="1"/>
    <col min="11" max="11" width="4" customWidth="1"/>
    <col min="12" max="12" width="2.7109375" customWidth="1"/>
    <col min="13" max="13" width="4.140625" customWidth="1"/>
    <col min="14" max="14" width="12.5703125" customWidth="1"/>
  </cols>
  <sheetData>
    <row r="1" spans="2:13" ht="18.75" x14ac:dyDescent="0.3">
      <c r="B1" s="112" t="str">
        <f>TOC!B15</f>
        <v>3. Summary Declaration Sheet:</v>
      </c>
      <c r="C1" s="68"/>
    </row>
    <row r="2" spans="2:13" ht="20.45" customHeight="1" x14ac:dyDescent="0.25">
      <c r="B2" s="68" t="str">
        <f>'DE (Final)'!B141</f>
        <v>Motorable Access</v>
      </c>
      <c r="C2" s="109" t="str">
        <f>IF('DE (Final)'!C141,"☑","☐")</f>
        <v>☑</v>
      </c>
      <c r="D2" s="68" t="s">
        <v>201</v>
      </c>
      <c r="E2" s="109" t="str">
        <f>IF('DE (Final)'!C141,"☐","☑")</f>
        <v>☐</v>
      </c>
      <c r="F2" s="68" t="s">
        <v>50</v>
      </c>
      <c r="G2" s="68"/>
      <c r="H2" s="68"/>
      <c r="I2" s="68"/>
      <c r="J2" s="68"/>
      <c r="K2" s="68"/>
      <c r="L2" s="68"/>
      <c r="M2" s="68"/>
    </row>
    <row r="3" spans="2:13" ht="20.45" customHeight="1" x14ac:dyDescent="0.25">
      <c r="B3" s="68" t="str">
        <f>'DE (Final)'!B143</f>
        <v>Water Supply Line</v>
      </c>
      <c r="C3" s="109" t="str">
        <f>IF('DE (Final)'!C143,"☑","☐")</f>
        <v>☑</v>
      </c>
      <c r="D3" s="68" t="s">
        <v>201</v>
      </c>
      <c r="E3" s="109" t="str">
        <f>IF('DE (Final)'!C143,"☐","☑")</f>
        <v>☐</v>
      </c>
      <c r="F3" s="68" t="s">
        <v>50</v>
      </c>
      <c r="G3" s="68"/>
      <c r="H3" s="68"/>
      <c r="I3" s="68"/>
      <c r="J3" s="68"/>
      <c r="K3" s="68"/>
      <c r="L3" s="68"/>
      <c r="M3" s="68"/>
    </row>
    <row r="4" spans="2:13" ht="20.45" customHeight="1" x14ac:dyDescent="0.25">
      <c r="B4" s="68" t="str">
        <f>'DE (Final)'!B154</f>
        <v>River/Stream near the property</v>
      </c>
      <c r="C4" s="109" t="str">
        <f>IF('DE (Final)'!C154,"☑","☐")</f>
        <v>☐</v>
      </c>
      <c r="D4" s="68" t="s">
        <v>201</v>
      </c>
      <c r="E4" s="109" t="str">
        <f>IF('DE (Final)'!C154,"☐","☑")</f>
        <v>☑</v>
      </c>
      <c r="F4" s="68" t="s">
        <v>50</v>
      </c>
      <c r="G4" s="68"/>
      <c r="H4" s="68"/>
      <c r="I4" s="68"/>
      <c r="J4" s="68"/>
      <c r="K4" s="68"/>
      <c r="L4" s="68"/>
      <c r="M4" s="68"/>
    </row>
    <row r="5" spans="2:13" ht="20.45" customHeight="1" x14ac:dyDescent="0.25">
      <c r="B5" s="68" t="str">
        <f>'DE (Final)'!B158</f>
        <v>Fuel storage depot near the property</v>
      </c>
      <c r="C5" s="109" t="str">
        <f>IF('DE (Final)'!C158,"☑","☐")</f>
        <v>☐</v>
      </c>
      <c r="D5" s="68" t="s">
        <v>201</v>
      </c>
      <c r="E5" s="109" t="str">
        <f>IF('DE (Final)'!C158,"☐","☑")</f>
        <v>☑</v>
      </c>
      <c r="F5" s="68" t="s">
        <v>50</v>
      </c>
      <c r="G5" s="68"/>
      <c r="H5" s="68"/>
      <c r="I5" s="68"/>
      <c r="J5" s="68"/>
      <c r="K5" s="68"/>
      <c r="L5" s="68"/>
      <c r="M5" s="68"/>
    </row>
    <row r="6" spans="2:13" ht="20.45" customHeight="1" x14ac:dyDescent="0.25">
      <c r="B6" s="68" t="str">
        <f>'DE (Final)'!B147</f>
        <v>Electricity Line</v>
      </c>
      <c r="C6" s="109" t="str">
        <f>IF('DE (Final)'!C147,"☑","☐")</f>
        <v>☑</v>
      </c>
      <c r="D6" s="68" t="s">
        <v>201</v>
      </c>
      <c r="E6" s="109" t="str">
        <f>IF('DE (Final)'!C147,"☐","☑")</f>
        <v>☐</v>
      </c>
      <c r="F6" s="68" t="s">
        <v>50</v>
      </c>
      <c r="G6" s="68"/>
      <c r="H6" s="68"/>
      <c r="I6" s="68"/>
      <c r="J6" s="68"/>
      <c r="K6" s="68"/>
      <c r="L6" s="68"/>
      <c r="M6" s="68"/>
    </row>
    <row r="7" spans="2:13" ht="20.45" customHeight="1" x14ac:dyDescent="0.25">
      <c r="B7" s="68" t="str">
        <f>'DE (Final)'!B149</f>
        <v>Telephone Line</v>
      </c>
      <c r="C7" s="109" t="str">
        <f>IF('DE (Final)'!C149,"☑","☐")</f>
        <v>☑</v>
      </c>
      <c r="D7" s="68" t="s">
        <v>201</v>
      </c>
      <c r="E7" s="109" t="str">
        <f>IF('DE (Final)'!C149,"☐","☑")</f>
        <v>☐</v>
      </c>
      <c r="F7" s="68" t="s">
        <v>50</v>
      </c>
      <c r="G7" s="68"/>
      <c r="H7" s="68"/>
      <c r="I7" s="68"/>
      <c r="J7" s="68"/>
      <c r="K7" s="68"/>
      <c r="L7" s="68"/>
      <c r="M7" s="68"/>
    </row>
    <row r="8" spans="2:13" ht="20.45" customHeight="1" x14ac:dyDescent="0.25">
      <c r="B8" s="68" t="str">
        <f>'DE (Final)'!B151</f>
        <v>TV Cable</v>
      </c>
      <c r="C8" s="109" t="str">
        <f>IF('DE (Final)'!C151,"☑","☐")</f>
        <v>☑</v>
      </c>
      <c r="D8" s="68" t="s">
        <v>201</v>
      </c>
      <c r="E8" s="109" t="str">
        <f>IF('DE (Final)'!C151,"☐","☑")</f>
        <v>☐</v>
      </c>
      <c r="F8" s="68" t="s">
        <v>50</v>
      </c>
      <c r="G8" s="68"/>
      <c r="H8" s="68"/>
      <c r="I8" s="68"/>
      <c r="J8" s="68"/>
      <c r="K8" s="68"/>
      <c r="L8" s="68"/>
      <c r="M8" s="68"/>
    </row>
    <row r="9" spans="2:13" ht="20.45" customHeight="1" x14ac:dyDescent="0.25">
      <c r="B9" s="68" t="str">
        <f>'DE (Final)'!B160</f>
        <v>Temple/Shrine near the property</v>
      </c>
      <c r="C9" s="109" t="str">
        <f>IF('DE (Final)'!C160,"☑","☐")</f>
        <v>☐</v>
      </c>
      <c r="D9" s="68" t="s">
        <v>201</v>
      </c>
      <c r="E9" s="109" t="str">
        <f>IF('DE (Final)'!C160,"☐","☑")</f>
        <v>☑</v>
      </c>
      <c r="F9" s="68" t="s">
        <v>50</v>
      </c>
      <c r="G9" s="68"/>
      <c r="H9" s="68"/>
      <c r="I9" s="68"/>
      <c r="J9" s="68"/>
      <c r="K9" s="68"/>
      <c r="L9" s="68"/>
      <c r="M9" s="68"/>
    </row>
    <row r="10" spans="2:13" ht="20.45" customHeight="1" x14ac:dyDescent="0.25">
      <c r="B10" s="68" t="str">
        <f>'DE (Final)'!B162</f>
        <v>Water Logging</v>
      </c>
      <c r="C10" s="109" t="str">
        <f>IF('DE (Final)'!C162,"☑","☐")</f>
        <v>☐</v>
      </c>
      <c r="D10" s="68" t="s">
        <v>201</v>
      </c>
      <c r="E10" s="109" t="str">
        <f>IF('DE (Final)'!C162,"☐","☑")</f>
        <v>☑</v>
      </c>
      <c r="F10" s="68" t="s">
        <v>50</v>
      </c>
      <c r="G10" s="68"/>
      <c r="H10" s="68"/>
      <c r="I10" s="68"/>
      <c r="J10" s="68"/>
      <c r="K10" s="68"/>
      <c r="L10" s="68"/>
      <c r="M10" s="68"/>
    </row>
    <row r="11" spans="2:13" ht="20.45" customHeight="1" x14ac:dyDescent="0.25">
      <c r="B11" s="68" t="str">
        <f>'DE (Final)'!B164</f>
        <v>Cremation area near the property</v>
      </c>
      <c r="C11" s="109" t="str">
        <f>IF('DE (Final)'!C164,"☑","☐")</f>
        <v>☐</v>
      </c>
      <c r="D11" s="68" t="s">
        <v>201</v>
      </c>
      <c r="E11" s="109" t="str">
        <f>IF('DE (Final)'!C164,"☐","☑")</f>
        <v>☑</v>
      </c>
      <c r="F11" s="68" t="s">
        <v>50</v>
      </c>
      <c r="G11" s="68"/>
      <c r="H11" s="68"/>
      <c r="I11" s="68"/>
      <c r="J11" s="68"/>
      <c r="K11" s="68"/>
      <c r="L11" s="68"/>
      <c r="M11" s="68"/>
    </row>
    <row r="12" spans="2:13" ht="20.45" customHeight="1" x14ac:dyDescent="0.25">
      <c r="B12" s="68" t="str">
        <f>'DE (Final)'!B166</f>
        <v>Army barracks near the property</v>
      </c>
      <c r="C12" s="109" t="str">
        <f>IF('DE (Final)'!C166,"☑","☐")</f>
        <v>☐</v>
      </c>
      <c r="D12" s="68" t="s">
        <v>201</v>
      </c>
      <c r="E12" s="109" t="str">
        <f>IF('DE (Final)'!C166,"☐","☑")</f>
        <v>☑</v>
      </c>
      <c r="F12" s="68" t="s">
        <v>50</v>
      </c>
      <c r="G12" s="68"/>
      <c r="H12" s="68"/>
      <c r="I12" s="68"/>
      <c r="J12" s="68"/>
      <c r="K12" s="68"/>
      <c r="L12" s="68"/>
      <c r="M12" s="68"/>
    </row>
    <row r="13" spans="2:13" ht="20.45" customHeight="1" x14ac:dyDescent="0.25">
      <c r="B13" s="68" t="str">
        <f>'DE (Final)'!B168</f>
        <v>Monument near the property</v>
      </c>
      <c r="C13" s="109" t="str">
        <f>IF('DE (Final)'!C168,"☑","☐")</f>
        <v>☐</v>
      </c>
      <c r="D13" s="68" t="s">
        <v>201</v>
      </c>
      <c r="E13" s="109" t="str">
        <f>IF('DE (Final)'!C168,"☐","☑")</f>
        <v>☑</v>
      </c>
      <c r="F13" s="68" t="s">
        <v>50</v>
      </c>
      <c r="G13" s="68"/>
      <c r="H13" s="68"/>
      <c r="I13" s="68"/>
      <c r="J13" s="68"/>
      <c r="K13" s="68"/>
      <c r="L13" s="68"/>
      <c r="M13" s="68"/>
    </row>
    <row r="14" spans="2:13" ht="20.45" customHeight="1" x14ac:dyDescent="0.25">
      <c r="B14" s="68" t="str">
        <f>'DE (Final)'!B170</f>
        <v>Hazardous factory</v>
      </c>
      <c r="C14" s="109" t="str">
        <f>IF('DE (Final)'!C170,"☑","☐")</f>
        <v>☐</v>
      </c>
      <c r="D14" s="68" t="s">
        <v>201</v>
      </c>
      <c r="E14" s="109" t="str">
        <f>IF('DE (Final)'!C170,"☐","☑")</f>
        <v>☑</v>
      </c>
      <c r="F14" s="68" t="s">
        <v>50</v>
      </c>
      <c r="G14" s="68"/>
      <c r="H14" s="68"/>
      <c r="I14" s="68"/>
      <c r="J14" s="68"/>
      <c r="K14" s="68"/>
      <c r="L14" s="68"/>
      <c r="M14" s="68"/>
    </row>
    <row r="15" spans="2:13" ht="20.45" customHeight="1" x14ac:dyDescent="0.25">
      <c r="B15" s="68" t="str">
        <f>'DE (Final)'!B145</f>
        <v>Sewerage Pipe Line</v>
      </c>
      <c r="C15" s="109" t="str">
        <f>IF('DE (Final)'!C145,"☑","☐")</f>
        <v>☑</v>
      </c>
      <c r="D15" s="68" t="s">
        <v>201</v>
      </c>
      <c r="E15" s="109" t="str">
        <f>IF('DE (Final)'!C145,"☐","☑")</f>
        <v>☐</v>
      </c>
      <c r="F15" s="68" t="s">
        <v>50</v>
      </c>
      <c r="G15" s="68"/>
      <c r="H15" s="68"/>
      <c r="I15" s="68"/>
      <c r="J15" s="68"/>
      <c r="K15" s="68"/>
      <c r="L15" s="68"/>
      <c r="M15" s="68"/>
    </row>
    <row r="16" spans="2:13" ht="20.45" customHeight="1" x14ac:dyDescent="0.25">
      <c r="B16" s="68" t="str">
        <f>'DE (Final)'!B172</f>
        <v>Dumping site near the property</v>
      </c>
      <c r="C16" s="109" t="str">
        <f>IF('DE (Final)'!C172,"☑","☐")</f>
        <v>☐</v>
      </c>
      <c r="D16" s="68" t="s">
        <v>201</v>
      </c>
      <c r="E16" s="109" t="str">
        <f>IF('DE (Final)'!C172,"☐","☑")</f>
        <v>☑</v>
      </c>
      <c r="F16" s="68" t="s">
        <v>50</v>
      </c>
      <c r="G16" s="68"/>
      <c r="H16" s="68"/>
      <c r="I16" s="68"/>
      <c r="J16" s="68"/>
      <c r="K16" s="68"/>
      <c r="L16" s="68"/>
      <c r="M16" s="68"/>
    </row>
    <row r="17" spans="1:18" ht="20.45" customHeight="1" x14ac:dyDescent="0.25">
      <c r="B17" s="68" t="str">
        <f>'DE (Final)'!B156</f>
        <v>High-tension line near the property</v>
      </c>
      <c r="C17" s="109" t="str">
        <f>IF('DE (Final)'!C156,"☑","☐")</f>
        <v>☐</v>
      </c>
      <c r="D17" s="68" t="s">
        <v>201</v>
      </c>
      <c r="E17" s="109" t="str">
        <f>IF('DE (Final)'!C156,"☐","☑")</f>
        <v>☑</v>
      </c>
      <c r="F17" s="68" t="s">
        <v>50</v>
      </c>
      <c r="G17" s="68"/>
      <c r="H17" s="68"/>
      <c r="I17" s="68"/>
      <c r="J17" s="68"/>
      <c r="K17" s="68"/>
      <c r="L17" s="68"/>
      <c r="M17" s="68"/>
    </row>
    <row r="18" spans="1:18" ht="20.45" customHeight="1" x14ac:dyDescent="0.25">
      <c r="B18" s="68" t="s">
        <v>204</v>
      </c>
      <c r="C18" s="109" t="str">
        <f>IF(ISNUMBER(SEARCH("Residential",'DE (Final)'!C175)),"☑","☐")</f>
        <v>☑</v>
      </c>
      <c r="D18" s="68" t="s">
        <v>146</v>
      </c>
      <c r="E18" s="109" t="str">
        <f>IF(ISNUMBER(SEARCH("Commercial",'DE (Final)'!C175)),"☑","☐")</f>
        <v>☐</v>
      </c>
      <c r="F18" s="68" t="s">
        <v>205</v>
      </c>
      <c r="G18" s="109" t="str">
        <f>IF(ISNUMBER(SEARCH("Industrial",'DE (Final)'!C175)),"☑","☐")</f>
        <v>☐</v>
      </c>
      <c r="H18" s="68" t="s">
        <v>206</v>
      </c>
      <c r="I18" s="68"/>
      <c r="J18" s="68"/>
      <c r="K18" s="68"/>
      <c r="L18" s="68"/>
      <c r="M18" s="109" t="str">
        <f>IF(ISNUMBER(SEARCH("Agricultural",'DE (Final)'!C175)),"☑","☐")</f>
        <v>☐</v>
      </c>
      <c r="N18" s="68" t="s">
        <v>426</v>
      </c>
    </row>
    <row r="19" spans="1:18" ht="20.45" customHeight="1" x14ac:dyDescent="0.25">
      <c r="B19" s="68" t="s">
        <v>207</v>
      </c>
      <c r="C19" s="109" t="str">
        <f>IF(ISNUMBER(SEARCH("Company",'DE (Final)'!C177)),"☑","☐")</f>
        <v>☐</v>
      </c>
      <c r="D19" s="68" t="s">
        <v>208</v>
      </c>
      <c r="E19" s="109" t="str">
        <f>IF(ISNUMBER(SEARCH("Single",'DE (Final)'!C177)),"☑","☐")</f>
        <v>☐</v>
      </c>
      <c r="F19" s="68" t="s">
        <v>424</v>
      </c>
      <c r="G19" s="109" t="str">
        <f>IF(ISNUMBER(SEARCH("Joint",'DE (Final)'!C177)),"☑","☐")</f>
        <v>☑</v>
      </c>
      <c r="H19" s="68" t="s">
        <v>425</v>
      </c>
      <c r="I19" s="68"/>
      <c r="J19" s="68"/>
      <c r="K19" s="68"/>
      <c r="L19" s="68"/>
      <c r="M19" s="68"/>
    </row>
    <row r="20" spans="1:18" ht="20.45" customHeight="1" x14ac:dyDescent="0.25">
      <c r="B20" s="68" t="s">
        <v>209</v>
      </c>
      <c r="C20" s="109" t="str">
        <f>IF(ISNUMBER(SEARCH("Free",'DE (Final)'!C179)),"☑","☐")</f>
        <v>☑</v>
      </c>
      <c r="D20" s="68" t="s">
        <v>210</v>
      </c>
      <c r="E20" s="109" t="str">
        <f>IF(ISNUMBER(SEARCH("Lease",'DE (Final)'!C179)),"☑","☐")</f>
        <v>☐</v>
      </c>
      <c r="F20" s="68" t="s">
        <v>211</v>
      </c>
      <c r="G20" s="68"/>
      <c r="H20" s="68"/>
      <c r="I20" s="68"/>
      <c r="J20" s="68"/>
      <c r="K20" s="68"/>
      <c r="L20" s="68"/>
      <c r="M20" s="68"/>
    </row>
    <row r="21" spans="1:18" ht="20.45" customHeight="1" x14ac:dyDescent="0.25">
      <c r="B21" s="68" t="s">
        <v>423</v>
      </c>
      <c r="C21" s="468" t="e">
        <f>'DE (Final)'!#REF!&amp;" "&amp;'DE (Final)'!#REF!</f>
        <v>#REF!</v>
      </c>
      <c r="D21" s="468"/>
      <c r="E21" s="468"/>
      <c r="F21" s="468"/>
      <c r="G21" s="68"/>
      <c r="H21" s="68"/>
      <c r="I21" s="68"/>
      <c r="J21" s="68"/>
      <c r="K21" s="68"/>
      <c r="L21" s="68"/>
      <c r="M21" s="68"/>
    </row>
    <row r="23" spans="1:18" ht="15.75" x14ac:dyDescent="0.25">
      <c r="A23" s="109" t="s">
        <v>212</v>
      </c>
      <c r="B23" s="110" t="s">
        <v>213</v>
      </c>
      <c r="C23" s="110"/>
    </row>
    <row r="24" spans="1:18" ht="15.75" x14ac:dyDescent="0.25">
      <c r="B24" s="111" t="s">
        <v>214</v>
      </c>
      <c r="C24" s="111"/>
      <c r="E24" t="s">
        <v>7</v>
      </c>
      <c r="F24" s="462" t="str">
        <f>'DE (Final)'!E156</f>
        <v>N/A</v>
      </c>
      <c r="G24" s="462"/>
      <c r="H24" s="462"/>
      <c r="I24" s="462"/>
      <c r="J24" s="462"/>
      <c r="K24" s="462"/>
      <c r="L24" s="462"/>
      <c r="M24" s="462"/>
      <c r="N24" s="462"/>
    </row>
    <row r="25" spans="1:18" ht="15.75" x14ac:dyDescent="0.25">
      <c r="B25" s="111" t="s">
        <v>430</v>
      </c>
      <c r="C25" s="111"/>
      <c r="E25" t="s">
        <v>7</v>
      </c>
      <c r="F25" s="462" t="s">
        <v>44</v>
      </c>
      <c r="G25" s="462"/>
      <c r="H25" s="462"/>
      <c r="I25" s="462"/>
      <c r="J25" s="462"/>
      <c r="K25" s="462"/>
      <c r="L25" s="462"/>
      <c r="M25" s="462"/>
      <c r="N25" s="462"/>
    </row>
    <row r="26" spans="1:18" ht="15.75" x14ac:dyDescent="0.25">
      <c r="B26" s="111" t="s">
        <v>431</v>
      </c>
      <c r="C26" s="111"/>
      <c r="E26" t="s">
        <v>7</v>
      </c>
      <c r="F26" s="462" t="str">
        <f>'DE (Final)'!E154</f>
        <v>N/A</v>
      </c>
      <c r="G26" s="462"/>
      <c r="H26" s="462"/>
      <c r="I26" s="462"/>
      <c r="J26" s="462"/>
      <c r="K26" s="462"/>
      <c r="L26" s="462"/>
      <c r="M26" s="462"/>
      <c r="N26" s="462"/>
    </row>
    <row r="28" spans="1:18" ht="18.75" x14ac:dyDescent="0.3">
      <c r="B28" s="112" t="str">
        <f>TOC!B16</f>
        <v>4. Commercial Importance of the Land and Building</v>
      </c>
    </row>
    <row r="29" spans="1:18" x14ac:dyDescent="0.25">
      <c r="R29" t="s">
        <v>427</v>
      </c>
    </row>
    <row r="30" spans="1:18" ht="28.5" customHeight="1" x14ac:dyDescent="0.25">
      <c r="A30" s="113" t="s">
        <v>212</v>
      </c>
      <c r="B30" s="466" t="s">
        <v>427</v>
      </c>
      <c r="C30" s="466"/>
      <c r="D30" s="466"/>
      <c r="E30" s="280" t="s">
        <v>7</v>
      </c>
      <c r="F30" s="467" t="str">
        <f>"The Property is near about "&amp;
ROUNDUP(
IF(ISNUMBER(SEARCH("km",LOWER('DE (Final)'!C118))),
VALUE(LEFT(LOWER('DE (Final)'!C118),FIND("km",LOWER('DE (Final)'!C118))-1)),
VALUE(LEFT(LOWER('DE (Final)'!C118),FIND("m",LOWER('DE (Final)'!C118))-1))/1000
),0)
&amp;"km far."</f>
        <v>The Property is near about 1km far.</v>
      </c>
      <c r="G30" s="467"/>
      <c r="H30" s="467"/>
      <c r="I30" s="467"/>
      <c r="J30" s="467"/>
      <c r="K30" s="467"/>
      <c r="L30" s="467"/>
      <c r="M30" s="467"/>
      <c r="N30" s="467"/>
    </row>
    <row r="31" spans="1:18" ht="27" customHeight="1" x14ac:dyDescent="0.25">
      <c r="A31" s="113" t="s">
        <v>212</v>
      </c>
      <c r="B31" s="466" t="s">
        <v>215</v>
      </c>
      <c r="C31" s="466"/>
      <c r="D31" s="466"/>
      <c r="E31" s="280" t="s">
        <v>7</v>
      </c>
      <c r="F31" s="467" t="str">
        <f>IF(ISNUMBER(SEARCH("no access",LOWER('DE (Final)'!C112))),
"No form of transportation can access the property.",
IF(ISNUMBER(SEARCH("road",LOWER('DE (Final)'!C112))),
"All types of surface transportation can access the property.",
IF(ISNUMBER(SEARCH("trail",LOWER('DE (Final)'!C112))),
"Only two-wheelers can access the property.",
"")))</f>
        <v>All types of surface transportation can access the property.</v>
      </c>
      <c r="G31" s="467"/>
      <c r="H31" s="467"/>
      <c r="I31" s="467"/>
      <c r="J31" s="467"/>
      <c r="K31" s="467"/>
      <c r="L31" s="467"/>
      <c r="M31" s="467"/>
      <c r="N31" s="467"/>
    </row>
    <row r="32" spans="1:18" ht="46.5" customHeight="1" x14ac:dyDescent="0.25">
      <c r="A32" s="113" t="s">
        <v>212</v>
      </c>
      <c r="B32" s="466" t="s">
        <v>216</v>
      </c>
      <c r="C32" s="466"/>
      <c r="D32" s="466"/>
      <c r="E32" s="280" t="s">
        <v>7</v>
      </c>
      <c r="F32" s="467" t="str">
        <f>"The land is used for "&amp;'DE (Final)'!C175&amp;" purpose."</f>
        <v>The land is used for Residential purpose.</v>
      </c>
      <c r="G32" s="467"/>
      <c r="H32" s="467"/>
      <c r="I32" s="467"/>
      <c r="J32" s="467"/>
      <c r="K32" s="467"/>
      <c r="L32" s="467"/>
      <c r="M32" s="467"/>
      <c r="N32" s="467"/>
    </row>
    <row r="33" spans="1:14" ht="18.75" customHeight="1" x14ac:dyDescent="0.25">
      <c r="A33" s="113" t="s">
        <v>212</v>
      </c>
      <c r="B33" s="467" t="s">
        <v>217</v>
      </c>
      <c r="C33" s="467"/>
      <c r="D33" s="467"/>
      <c r="E33" s="280" t="s">
        <v>7</v>
      </c>
      <c r="F33" s="466" t="str">
        <f>"The property lies within "&amp;'DE (Final)'!C85&amp;"."</f>
        <v>The property lies within Jorpati VDC.</v>
      </c>
      <c r="G33" s="466"/>
      <c r="H33" s="466"/>
      <c r="I33" s="466"/>
      <c r="J33" s="466"/>
      <c r="K33" s="466"/>
      <c r="L33" s="466"/>
      <c r="M33" s="466"/>
      <c r="N33" s="466"/>
    </row>
    <row r="34" spans="1:14" ht="44.25" customHeight="1" x14ac:dyDescent="0.25">
      <c r="A34" s="113" t="s">
        <v>212</v>
      </c>
      <c r="B34" s="466" t="s">
        <v>432</v>
      </c>
      <c r="C34" s="466"/>
      <c r="D34" s="466"/>
      <c r="E34" s="280" t="s">
        <v>7</v>
      </c>
      <c r="F34" s="467" t="s">
        <v>218</v>
      </c>
      <c r="G34" s="467"/>
      <c r="H34" s="467"/>
      <c r="I34" s="467"/>
      <c r="J34" s="467"/>
      <c r="K34" s="467"/>
      <c r="L34" s="467"/>
      <c r="M34" s="467"/>
      <c r="N34" s="467"/>
    </row>
    <row r="35" spans="1:14" ht="28.5" customHeight="1" x14ac:dyDescent="0.25">
      <c r="A35" s="113" t="s">
        <v>212</v>
      </c>
      <c r="B35" s="466" t="s">
        <v>219</v>
      </c>
      <c r="C35" s="466"/>
      <c r="D35" s="466"/>
      <c r="E35" s="280" t="s">
        <v>7</v>
      </c>
      <c r="F35" s="467" t="str">
        <f>IFERROR(
IF(
IF(ISNUMBER(SEARCH("km",LOWER('DE (Final)'!C118))),
VALUE(SUBSTITUTE(LEFT(LOWER('DE (Final)'!C118),SEARCH("km",LOWER('DE (Final)'!C118))-1)," ","")),
VALUE(SUBSTITUTE(LEFT(LOWER('DE (Final)'!C118),SEARCH("m",LOWER('DE (Final)'!C118))-1)," ",""))/1000
)&gt;5,
"Limited civic amenities are available.",
"Most kinds of civic amenities are available."
),
"Check input"
)</f>
        <v>Most kinds of civic amenities are available.</v>
      </c>
      <c r="G35" s="467"/>
      <c r="H35" s="467"/>
      <c r="I35" s="467"/>
      <c r="J35" s="467"/>
      <c r="K35" s="467"/>
      <c r="L35" s="467"/>
      <c r="M35" s="467"/>
      <c r="N35" s="467"/>
    </row>
    <row r="36" spans="1:14" ht="16.5" customHeight="1" x14ac:dyDescent="0.25">
      <c r="A36" s="113" t="s">
        <v>212</v>
      </c>
      <c r="B36" s="467" t="s">
        <v>220</v>
      </c>
      <c r="C36" s="467"/>
      <c r="D36" s="467"/>
      <c r="E36" s="280" t="s">
        <v>7</v>
      </c>
      <c r="F36" s="466" t="s">
        <v>222</v>
      </c>
      <c r="G36" s="466"/>
      <c r="H36" s="466"/>
      <c r="I36" s="466"/>
      <c r="J36" s="466"/>
      <c r="K36" s="466"/>
      <c r="L36" s="466"/>
      <c r="M36" s="466"/>
      <c r="N36" s="466"/>
    </row>
    <row r="37" spans="1:14" ht="18" customHeight="1" x14ac:dyDescent="0.25">
      <c r="A37" s="113" t="s">
        <v>212</v>
      </c>
      <c r="B37" s="467" t="s">
        <v>221</v>
      </c>
      <c r="C37" s="467"/>
      <c r="D37" s="467"/>
      <c r="E37" s="280" t="s">
        <v>7</v>
      </c>
      <c r="F37" s="466" t="s">
        <v>222</v>
      </c>
      <c r="G37" s="466"/>
      <c r="H37" s="466"/>
      <c r="I37" s="466"/>
      <c r="J37" s="466"/>
      <c r="K37" s="466"/>
      <c r="L37" s="466"/>
      <c r="M37" s="466"/>
      <c r="N37" s="466"/>
    </row>
  </sheetData>
  <mergeCells count="20">
    <mergeCell ref="C21:F21"/>
    <mergeCell ref="F24:N24"/>
    <mergeCell ref="F25:N25"/>
    <mergeCell ref="F26:N26"/>
    <mergeCell ref="B30:D30"/>
    <mergeCell ref="B31:D31"/>
    <mergeCell ref="B32:D32"/>
    <mergeCell ref="F30:N30"/>
    <mergeCell ref="F31:N31"/>
    <mergeCell ref="F32:N32"/>
    <mergeCell ref="B36:D36"/>
    <mergeCell ref="B37:D37"/>
    <mergeCell ref="B33:D33"/>
    <mergeCell ref="B34:D34"/>
    <mergeCell ref="B35:D35"/>
    <mergeCell ref="F33:N33"/>
    <mergeCell ref="F34:N34"/>
    <mergeCell ref="F35:N35"/>
    <mergeCell ref="F36:N36"/>
    <mergeCell ref="F37:N37"/>
  </mergeCells>
  <printOptions horizontalCentered="1" verticalCentered="1"/>
  <pageMargins left="0.70866141732283505" right="0.45866141700000002" top="0.74803149606299202" bottom="0.74803149606299202" header="0.31496062992126" footer="0.31496062992126"/>
  <pageSetup scale="79" orientation="portrait" r:id="rId1"/>
  <headerFooter>
    <oddFooter>&amp;R&amp;G</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sheetPr>
  <dimension ref="A1:Q39"/>
  <sheetViews>
    <sheetView view="pageBreakPreview" topLeftCell="A16" zoomScaleSheetLayoutView="100" workbookViewId="0">
      <selection activeCell="Y17" sqref="Y17"/>
    </sheetView>
  </sheetViews>
  <sheetFormatPr defaultRowHeight="15" x14ac:dyDescent="0.25"/>
  <cols>
    <col min="1" max="1" width="5.7109375" customWidth="1"/>
    <col min="2" max="2" width="4.7109375" customWidth="1"/>
    <col min="3" max="3" width="11.28515625" customWidth="1"/>
    <col min="4" max="4" width="5" customWidth="1"/>
    <col min="5" max="5" width="1" customWidth="1"/>
    <col min="6" max="6" width="3.85546875" customWidth="1"/>
    <col min="7" max="7" width="3.7109375" customWidth="1"/>
    <col min="8" max="8" width="6.85546875" customWidth="1"/>
    <col min="9" max="9" width="10.7109375" customWidth="1"/>
    <col min="10" max="10" width="4.42578125" customWidth="1"/>
    <col min="11" max="11" width="1.5703125" customWidth="1"/>
    <col min="12" max="12" width="6.42578125" customWidth="1"/>
    <col min="13" max="13" width="12" customWidth="1"/>
    <col min="14" max="14" width="8.28515625" customWidth="1"/>
    <col min="15" max="15" width="18.5703125" customWidth="1"/>
    <col min="17" max="17" width="16.7109375" customWidth="1"/>
  </cols>
  <sheetData>
    <row r="1" spans="1:16" ht="21.75" customHeight="1" x14ac:dyDescent="0.3">
      <c r="A1" s="501" t="str">
        <f>TOC!B17</f>
        <v>5. Summary of Valuation of the Property</v>
      </c>
      <c r="B1" s="502"/>
      <c r="C1" s="502"/>
      <c r="D1" s="502"/>
      <c r="E1" s="502"/>
      <c r="F1" s="502"/>
      <c r="G1" s="502"/>
      <c r="H1" s="502"/>
      <c r="I1" s="502"/>
      <c r="J1" s="502"/>
      <c r="K1" s="502"/>
      <c r="L1" s="502"/>
      <c r="M1" s="502"/>
      <c r="N1" s="502"/>
      <c r="O1" s="503"/>
    </row>
    <row r="2" spans="1:16" ht="30.75" customHeight="1" x14ac:dyDescent="0.25">
      <c r="A2" s="507" t="str">
        <f>val!A2</f>
        <v>Owner 1</v>
      </c>
      <c r="B2" s="508"/>
      <c r="C2" s="508"/>
      <c r="D2" s="508"/>
      <c r="E2" s="508"/>
      <c r="F2" s="508"/>
      <c r="G2" s="508"/>
      <c r="H2" s="10" t="s">
        <v>7</v>
      </c>
      <c r="I2" s="509" t="str">
        <f>val!D2</f>
        <v>Mr. Ram Bahadur Khatri</v>
      </c>
      <c r="J2" s="510"/>
      <c r="K2" s="510"/>
      <c r="L2" s="510"/>
      <c r="M2" s="511" t="str">
        <f>val!G2</f>
        <v>Date of Survey:</v>
      </c>
      <c r="N2" s="511"/>
      <c r="O2" s="252">
        <f>val!H2</f>
        <v>46142</v>
      </c>
    </row>
    <row r="3" spans="1:16" ht="20.25" customHeight="1" x14ac:dyDescent="0.25">
      <c r="A3" s="354" t="str">
        <f>val!A3</f>
        <v>Owner 2</v>
      </c>
      <c r="B3" s="172"/>
      <c r="C3" s="172"/>
      <c r="D3" s="172"/>
      <c r="E3" s="172"/>
      <c r="F3" s="172"/>
      <c r="G3" s="172"/>
      <c r="H3" s="10" t="s">
        <v>7</v>
      </c>
      <c r="I3" s="509" t="str">
        <f>val!D3</f>
        <v>Mrs. Saru Khatri</v>
      </c>
      <c r="J3" s="509"/>
      <c r="K3" s="509"/>
      <c r="L3" s="509"/>
      <c r="M3" s="509"/>
      <c r="N3" s="509"/>
      <c r="O3" s="517"/>
    </row>
    <row r="4" spans="1:16" ht="20.100000000000001" customHeight="1" x14ac:dyDescent="0.25">
      <c r="A4" s="512" t="str">
        <f>val!A4</f>
        <v>Type of Property to be mortgaged</v>
      </c>
      <c r="B4" s="513"/>
      <c r="C4" s="513"/>
      <c r="D4" s="513"/>
      <c r="E4" s="513"/>
      <c r="F4" s="513"/>
      <c r="G4" s="513"/>
      <c r="H4" s="10" t="s">
        <v>7</v>
      </c>
      <c r="I4" s="10" t="str">
        <f>val!D4</f>
        <v>Land</v>
      </c>
      <c r="J4" s="10"/>
      <c r="K4" s="10"/>
      <c r="L4" s="10"/>
      <c r="M4" s="10"/>
      <c r="N4" s="10"/>
      <c r="O4" s="187"/>
    </row>
    <row r="5" spans="1:16" ht="20.100000000000001" customHeight="1" x14ac:dyDescent="0.25">
      <c r="A5" s="119" t="str">
        <f>val!A5</f>
        <v>Plot No</v>
      </c>
      <c r="B5" s="10"/>
      <c r="C5" s="10"/>
      <c r="D5" s="10"/>
      <c r="E5" s="10"/>
      <c r="F5" s="10"/>
      <c r="G5" s="10"/>
      <c r="H5" s="10" t="s">
        <v>7</v>
      </c>
      <c r="I5" s="463">
        <f>'DE (Final)'!C81</f>
        <v>298</v>
      </c>
      <c r="J5" s="463"/>
      <c r="K5" s="463"/>
      <c r="L5" s="463"/>
      <c r="M5" s="10"/>
      <c r="N5" s="10"/>
      <c r="O5" s="187"/>
    </row>
    <row r="6" spans="1:16" ht="29.25" customHeight="1" x14ac:dyDescent="0.25">
      <c r="A6" s="119" t="str">
        <f>val!A6</f>
        <v>Location of the Property</v>
      </c>
      <c r="B6" s="10"/>
      <c r="C6" s="10"/>
      <c r="D6" s="10"/>
      <c r="E6" s="10"/>
      <c r="F6" s="10"/>
      <c r="G6" s="10"/>
      <c r="H6" s="10" t="s">
        <v>7</v>
      </c>
      <c r="I6" s="463" t="str">
        <f>val!D6</f>
        <v>Gokarneshwor Municipality-6 (Sabik Jorpati VDC-4), Kathmandu District</v>
      </c>
      <c r="J6" s="463"/>
      <c r="K6" s="463"/>
      <c r="L6" s="463"/>
      <c r="M6" s="463"/>
      <c r="N6" s="463"/>
      <c r="O6" s="516"/>
    </row>
    <row r="7" spans="1:16" ht="18.75" customHeight="1" x14ac:dyDescent="0.25">
      <c r="A7" s="120" t="str">
        <f>val!A7</f>
        <v>Client</v>
      </c>
      <c r="B7" s="72"/>
      <c r="C7" s="72"/>
      <c r="D7" s="72"/>
      <c r="E7" s="72"/>
      <c r="F7" s="72"/>
      <c r="G7" s="72"/>
      <c r="H7" s="72" t="s">
        <v>7</v>
      </c>
      <c r="I7" s="514" t="str">
        <f>val!D7</f>
        <v>Mr. Ram Bahadur Khatri</v>
      </c>
      <c r="J7" s="514"/>
      <c r="K7" s="514"/>
      <c r="L7" s="514"/>
      <c r="M7" s="514"/>
      <c r="N7" s="514"/>
      <c r="O7" s="515"/>
    </row>
    <row r="8" spans="1:16" ht="20.100000000000001" customHeight="1" x14ac:dyDescent="0.25">
      <c r="A8" s="131" t="s">
        <v>152</v>
      </c>
      <c r="B8" s="132"/>
      <c r="C8" s="133"/>
      <c r="D8" s="133"/>
      <c r="E8" s="133"/>
      <c r="F8" s="133"/>
      <c r="G8" s="133"/>
      <c r="H8" s="133"/>
      <c r="I8" s="133"/>
      <c r="J8" s="134"/>
      <c r="K8" s="131"/>
      <c r="L8" s="141"/>
      <c r="M8" s="141"/>
      <c r="N8" s="141"/>
      <c r="O8" s="142"/>
    </row>
    <row r="9" spans="1:16" ht="20.100000000000001" customHeight="1" x14ac:dyDescent="0.25">
      <c r="A9" s="504"/>
      <c r="B9" s="505"/>
      <c r="C9" s="506"/>
      <c r="D9" s="458" t="s">
        <v>153</v>
      </c>
      <c r="E9" s="458"/>
      <c r="F9" s="83" t="s">
        <v>99</v>
      </c>
      <c r="G9" s="83" t="s">
        <v>154</v>
      </c>
      <c r="H9" s="83" t="s">
        <v>144</v>
      </c>
      <c r="I9" s="83" t="s">
        <v>385</v>
      </c>
      <c r="J9" s="135"/>
      <c r="K9" s="143"/>
      <c r="L9" s="2"/>
      <c r="N9" s="158"/>
      <c r="O9" s="351"/>
    </row>
    <row r="10" spans="1:16" ht="20.100000000000001" customHeight="1" x14ac:dyDescent="0.25">
      <c r="A10" s="477" t="s">
        <v>28</v>
      </c>
      <c r="B10" s="477"/>
      <c r="C10" s="477"/>
      <c r="D10" s="476">
        <f>Area!E51</f>
        <v>0</v>
      </c>
      <c r="E10" s="477"/>
      <c r="F10" s="85">
        <f>Area!F51</f>
        <v>3</v>
      </c>
      <c r="G10" s="85">
        <f>Area!G51</f>
        <v>0</v>
      </c>
      <c r="H10" s="86">
        <f>Area!H51</f>
        <v>0</v>
      </c>
      <c r="I10" s="86">
        <f>Area!I54</f>
        <v>95.39</v>
      </c>
      <c r="J10" s="135"/>
      <c r="K10" s="143"/>
      <c r="L10" s="2"/>
      <c r="N10" s="158"/>
      <c r="O10" s="351"/>
      <c r="P10" s="2"/>
    </row>
    <row r="11" spans="1:16" ht="20.100000000000001" customHeight="1" x14ac:dyDescent="0.25">
      <c r="A11" s="477" t="s">
        <v>29</v>
      </c>
      <c r="B11" s="477"/>
      <c r="C11" s="477"/>
      <c r="D11" s="476">
        <f>INT(I11/508.72)</f>
        <v>0</v>
      </c>
      <c r="E11" s="477"/>
      <c r="F11" s="85">
        <f>INT(MOD(I11,508.72)/31.795)</f>
        <v>2</v>
      </c>
      <c r="G11" s="85">
        <f>INT(MOD(I11,31.795)/7.949)</f>
        <v>3</v>
      </c>
      <c r="H11" s="86">
        <f>ROUND(MOD(I11,7.949)/1.987,2)</f>
        <v>3.35</v>
      </c>
      <c r="I11" s="86">
        <f>Area!H17</f>
        <v>94.090201460381735</v>
      </c>
      <c r="J11" s="135"/>
      <c r="K11" s="143"/>
      <c r="L11" s="499"/>
      <c r="M11" s="500"/>
      <c r="N11" s="158"/>
      <c r="O11" s="351"/>
      <c r="P11" s="2"/>
    </row>
    <row r="12" spans="1:16" ht="20.100000000000001" customHeight="1" x14ac:dyDescent="0.25">
      <c r="A12" s="477" t="s">
        <v>384</v>
      </c>
      <c r="B12" s="477"/>
      <c r="C12" s="477"/>
      <c r="D12" s="476">
        <f>INT(I12/508.72)</f>
        <v>0</v>
      </c>
      <c r="E12" s="477"/>
      <c r="F12" s="85">
        <f>INT(MOD(I12,508.72)/31.795)</f>
        <v>2</v>
      </c>
      <c r="G12" s="85">
        <f>INT(MOD(I12,31.795)/7.949)</f>
        <v>2</v>
      </c>
      <c r="H12" s="86">
        <f>ROUND(MOD(I12,7.949)/1.987,2)</f>
        <v>0.76</v>
      </c>
      <c r="I12" s="86">
        <f>Area!H27</f>
        <v>81.007232703739575</v>
      </c>
      <c r="J12" s="135"/>
      <c r="K12" s="143"/>
      <c r="L12" s="499"/>
      <c r="M12" s="500"/>
      <c r="N12" s="353"/>
      <c r="O12" s="188"/>
      <c r="P12" s="2"/>
    </row>
    <row r="13" spans="1:16" ht="20.100000000000001" customHeight="1" x14ac:dyDescent="0.25">
      <c r="A13" s="477" t="s">
        <v>155</v>
      </c>
      <c r="B13" s="477"/>
      <c r="C13" s="477"/>
      <c r="D13" s="476">
        <f>INT(I13/508.72)</f>
        <v>0</v>
      </c>
      <c r="E13" s="477"/>
      <c r="F13" s="85">
        <f>INT(MOD(I13,508.72)/31.795)</f>
        <v>2</v>
      </c>
      <c r="G13" s="85">
        <f>INT(MOD(I13,31.795)/7.949)</f>
        <v>2</v>
      </c>
      <c r="H13" s="86">
        <f>ROUND(MOD(I13,7.949)/1.987,2)</f>
        <v>0.76</v>
      </c>
      <c r="I13" s="86">
        <f>_xlfn.MINIFS(I10:I12,I10:I12,"&gt;0")</f>
        <v>81.007232703739575</v>
      </c>
      <c r="J13" s="135"/>
      <c r="K13" s="143"/>
      <c r="L13" s="357"/>
      <c r="M13" s="357"/>
      <c r="N13" s="352"/>
      <c r="O13" s="188"/>
      <c r="P13" s="2"/>
    </row>
    <row r="14" spans="1:16" ht="16.899999999999999" customHeight="1" x14ac:dyDescent="0.25">
      <c r="A14" s="136"/>
      <c r="B14" s="137"/>
      <c r="C14" s="137"/>
      <c r="D14" s="138"/>
      <c r="E14" s="138"/>
      <c r="F14" s="139"/>
      <c r="G14" s="139"/>
      <c r="H14" s="139"/>
      <c r="I14" s="139"/>
      <c r="J14" s="140"/>
      <c r="K14" s="144"/>
      <c r="L14" s="145"/>
      <c r="M14" s="146"/>
      <c r="N14" s="146"/>
      <c r="O14" s="147"/>
      <c r="P14" s="2"/>
    </row>
    <row r="15" spans="1:16" ht="16.5" customHeight="1" x14ac:dyDescent="0.25">
      <c r="A15" s="122" t="s">
        <v>156</v>
      </c>
      <c r="B15" s="268"/>
      <c r="C15" s="268"/>
      <c r="D15" s="268"/>
      <c r="E15" s="268"/>
      <c r="F15" s="268"/>
      <c r="G15" s="268"/>
      <c r="H15" s="268"/>
      <c r="I15" s="268"/>
      <c r="J15" s="2" t="s">
        <v>158</v>
      </c>
      <c r="K15" s="268"/>
      <c r="O15" s="118"/>
    </row>
    <row r="16" spans="1:16" ht="16.5" customHeight="1" x14ac:dyDescent="0.25">
      <c r="A16" s="472" t="s">
        <v>167</v>
      </c>
      <c r="B16" s="473"/>
      <c r="C16" s="83" t="s">
        <v>32</v>
      </c>
      <c r="D16" s="472" t="s">
        <v>157</v>
      </c>
      <c r="E16" s="475"/>
      <c r="F16" s="473"/>
      <c r="G16" s="472" t="s">
        <v>159</v>
      </c>
      <c r="H16" s="473"/>
      <c r="I16" s="83" t="s">
        <v>35</v>
      </c>
      <c r="J16" s="481" t="str">
        <f>"The said site is linked via "&amp;'DE (Final)'!C112&amp;
". The site can be accessed from "&amp;
MID('DE (Final)'!C118,
    FIND("from ",'DE (Final)'!C118)+5,
    FIND(" via",'DE (Final)'!C118)-FIND("from ",'DE (Final)'!C118)-5)&amp;
" and travelling around "&amp;'DE (Final)'!C118&amp;
", We can reach this Property."</f>
        <v>The said site is linked via 10ft wide Concrete Slab Road at West Side. The site can be accessed from Agricultural Development Bank, Jorpati Branch and travelling around 300m North-West from Agricultural Development Bank, Jorpati Branch via Jorpati, We can reach this Property.</v>
      </c>
      <c r="K16" s="482"/>
      <c r="L16" s="482"/>
      <c r="M16" s="482"/>
      <c r="N16" s="482"/>
      <c r="O16" s="483"/>
    </row>
    <row r="17" spans="1:17" ht="72.75" customHeight="1" x14ac:dyDescent="0.25">
      <c r="A17" s="459">
        <f>'DE (Final)'!C81</f>
        <v>298</v>
      </c>
      <c r="B17" s="461"/>
      <c r="C17" s="71" t="str">
        <f>'DE (Final)'!C127</f>
        <v>Plot No. 114 &amp; 115</v>
      </c>
      <c r="D17" s="459" t="str">
        <f>'DE (Final)'!C129</f>
        <v>Plot No. 301 (Road)</v>
      </c>
      <c r="E17" s="460"/>
      <c r="F17" s="461"/>
      <c r="G17" s="459" t="str">
        <f>'DE (Final)'!C131</f>
        <v>Plot No. 299</v>
      </c>
      <c r="H17" s="461"/>
      <c r="I17" s="71" t="str">
        <f>'DE (Final)'!C133</f>
        <v>Plot No. 297</v>
      </c>
      <c r="J17" s="484"/>
      <c r="K17" s="485"/>
      <c r="L17" s="485"/>
      <c r="M17" s="485"/>
      <c r="N17" s="485"/>
      <c r="O17" s="486"/>
    </row>
    <row r="18" spans="1:17" ht="21.6" customHeight="1" x14ac:dyDescent="0.25">
      <c r="A18" s="122" t="s">
        <v>162</v>
      </c>
      <c r="B18" s="268"/>
      <c r="C18" s="268"/>
      <c r="D18" s="268"/>
      <c r="E18" s="268"/>
      <c r="F18" s="268"/>
      <c r="G18" s="268"/>
      <c r="H18" s="268"/>
      <c r="I18" s="268"/>
      <c r="J18" s="415"/>
      <c r="K18" s="415"/>
      <c r="L18" s="415"/>
      <c r="M18" s="415"/>
      <c r="N18" s="415"/>
      <c r="O18" s="478"/>
    </row>
    <row r="19" spans="1:17" ht="30" customHeight="1" x14ac:dyDescent="0.25">
      <c r="A19" s="83" t="s">
        <v>166</v>
      </c>
      <c r="B19" s="479" t="s">
        <v>0</v>
      </c>
      <c r="C19" s="480"/>
      <c r="D19" s="82" t="s">
        <v>160</v>
      </c>
      <c r="E19" s="82"/>
      <c r="F19" s="82"/>
      <c r="G19" s="82"/>
      <c r="H19" s="82"/>
      <c r="I19" s="472" t="s">
        <v>235</v>
      </c>
      <c r="J19" s="475"/>
      <c r="K19" s="475"/>
      <c r="L19" s="473"/>
      <c r="M19" s="487" t="str">
        <f>val!A24</f>
        <v>On the basis of the details provided by Client and Field verification, Fair Market Value of property to be mortgaged is valued NRs. 7,318,000.00 In Words: NRs. Seventy Three Lakh And Eighteen Thousand Only.</v>
      </c>
      <c r="N19" s="487"/>
      <c r="O19" s="487"/>
    </row>
    <row r="20" spans="1:17" ht="20.100000000000001" customHeight="1" x14ac:dyDescent="0.25">
      <c r="A20" s="15">
        <v>1</v>
      </c>
      <c r="B20" s="491" t="s">
        <v>101</v>
      </c>
      <c r="C20" s="492"/>
      <c r="D20" s="493">
        <f>val!G11</f>
        <v>12367500</v>
      </c>
      <c r="E20" s="493"/>
      <c r="F20" s="493"/>
      <c r="G20" s="493"/>
      <c r="H20" s="493"/>
      <c r="I20" s="498">
        <f>val!H21</f>
        <v>7318000</v>
      </c>
      <c r="J20" s="498"/>
      <c r="K20" s="498"/>
      <c r="L20" s="498"/>
      <c r="M20" s="487"/>
      <c r="N20" s="487"/>
      <c r="O20" s="487"/>
      <c r="P20" s="70"/>
      <c r="Q20" s="70"/>
    </row>
    <row r="21" spans="1:17" ht="20.100000000000001" customHeight="1" x14ac:dyDescent="0.25">
      <c r="A21" s="15">
        <v>2</v>
      </c>
      <c r="B21" s="76" t="s">
        <v>145</v>
      </c>
      <c r="C21" s="128"/>
      <c r="D21" s="494" t="str">
        <f>val!F22</f>
        <v>-</v>
      </c>
      <c r="E21" s="495"/>
      <c r="F21" s="495"/>
      <c r="G21" s="495"/>
      <c r="H21" s="496"/>
      <c r="I21" s="497" t="str">
        <f>val!H22</f>
        <v>-</v>
      </c>
      <c r="J21" s="497"/>
      <c r="K21" s="497"/>
      <c r="L21" s="497"/>
      <c r="M21" s="487"/>
      <c r="N21" s="487"/>
      <c r="O21" s="487"/>
    </row>
    <row r="22" spans="1:17" ht="20.100000000000001" customHeight="1" x14ac:dyDescent="0.25">
      <c r="A22" s="488" t="s">
        <v>161</v>
      </c>
      <c r="B22" s="488"/>
      <c r="C22" s="489"/>
      <c r="D22" s="490">
        <f>val!F23</f>
        <v>12367500</v>
      </c>
      <c r="E22" s="490"/>
      <c r="F22" s="490"/>
      <c r="G22" s="490"/>
      <c r="H22" s="490"/>
      <c r="I22" s="490">
        <f>SUM(I20:L21)</f>
        <v>7318000</v>
      </c>
      <c r="J22" s="490"/>
      <c r="K22" s="490"/>
      <c r="L22" s="490"/>
      <c r="M22" s="487"/>
      <c r="N22" s="487"/>
      <c r="O22" s="487"/>
    </row>
    <row r="23" spans="1:17" ht="11.45" customHeight="1" x14ac:dyDescent="0.25">
      <c r="A23" s="123"/>
      <c r="B23" s="264"/>
      <c r="C23" s="264"/>
      <c r="D23" s="474"/>
      <c r="E23" s="474"/>
      <c r="F23" s="474"/>
      <c r="G23" s="474"/>
      <c r="H23" s="474"/>
      <c r="I23" s="474"/>
      <c r="J23" s="474"/>
      <c r="K23" s="474"/>
      <c r="L23" s="474"/>
      <c r="M23" s="474"/>
      <c r="N23" s="474"/>
      <c r="O23" s="124"/>
    </row>
    <row r="24" spans="1:17" ht="20.100000000000001" customHeight="1" x14ac:dyDescent="0.25">
      <c r="A24" s="125" t="s">
        <v>163</v>
      </c>
      <c r="B24" s="10"/>
      <c r="C24" s="10"/>
      <c r="D24" s="10"/>
      <c r="E24" s="10"/>
      <c r="F24" s="10"/>
      <c r="G24" s="10"/>
      <c r="H24" s="10"/>
      <c r="I24" s="72"/>
      <c r="J24" s="269"/>
      <c r="K24" s="93"/>
      <c r="L24" s="93"/>
      <c r="M24" s="264"/>
      <c r="N24" s="264"/>
      <c r="O24" s="126"/>
    </row>
    <row r="25" spans="1:17" ht="20.100000000000001" customHeight="1" x14ac:dyDescent="0.25">
      <c r="A25" s="275" t="str">
        <f>IF(ISNUMBER(SEARCH("Pitched Road",'DE (Final)'!C112)),"☑","☐")</f>
        <v>☐</v>
      </c>
      <c r="B25" s="64" t="s">
        <v>396</v>
      </c>
      <c r="C25" s="10"/>
      <c r="D25" s="275" t="str">
        <f>IF(ISNUMBER(SEARCH("Concrete Slab Road",'DE (Final)'!C112)),"☑","☐")</f>
        <v>☑</v>
      </c>
      <c r="E25" s="10" t="s">
        <v>398</v>
      </c>
      <c r="F25" s="10"/>
      <c r="G25" s="10"/>
      <c r="H25" s="10"/>
      <c r="I25" s="72"/>
      <c r="J25" s="273" t="str">
        <f>IF(ISNUMBER(SEARCH("Gravelled Road",'DE (Final)'!C112)),"☑","☐")</f>
        <v>☐</v>
      </c>
      <c r="K25" s="274" t="s">
        <v>400</v>
      </c>
      <c r="L25" s="129"/>
      <c r="M25" s="264"/>
      <c r="N25" s="275" t="str">
        <f>IF(ISNUMBER(SEARCH("Foot Trail",'DE (Final)'!C112)),"☑","☐")</f>
        <v>☐</v>
      </c>
      <c r="O25" s="270" t="s">
        <v>402</v>
      </c>
    </row>
    <row r="26" spans="1:17" ht="20.100000000000001" customHeight="1" x14ac:dyDescent="0.25">
      <c r="A26" s="275" t="str">
        <f>IF(ISNUMBER(SEARCH("Earthen Road",'DE (Final)'!C112)),"☑","☐")</f>
        <v>☐</v>
      </c>
      <c r="B26" s="64" t="s">
        <v>397</v>
      </c>
      <c r="C26" s="10"/>
      <c r="D26" s="275" t="str">
        <f>IF(ISNUMBER(SEARCH("Block Paved Road",'DE (Final)'!C112)),"☑","☐")</f>
        <v>☐</v>
      </c>
      <c r="E26" s="10" t="s">
        <v>399</v>
      </c>
      <c r="F26" s="10"/>
      <c r="G26" s="10"/>
      <c r="H26" s="10"/>
      <c r="I26" s="72"/>
      <c r="J26" s="273" t="str">
        <f>IF(ISNUMBER(SEARCH("Stone Paved Road",'DE (Final)'!C112)),"☑","☐")</f>
        <v>☐</v>
      </c>
      <c r="K26" s="274" t="s">
        <v>401</v>
      </c>
      <c r="L26" s="263"/>
      <c r="M26" s="263"/>
      <c r="N26" s="75"/>
      <c r="O26" s="262"/>
    </row>
    <row r="27" spans="1:17" ht="14.25" customHeight="1" x14ac:dyDescent="0.25">
      <c r="A27" s="119"/>
      <c r="B27" s="64"/>
      <c r="C27" s="10"/>
      <c r="D27" s="10"/>
      <c r="E27" s="10"/>
      <c r="F27" s="10"/>
      <c r="G27" s="10"/>
      <c r="H27" s="10"/>
      <c r="I27" s="72"/>
      <c r="J27" s="269"/>
      <c r="K27" s="94"/>
      <c r="L27" s="94"/>
      <c r="M27" s="260"/>
      <c r="N27" s="260"/>
      <c r="O27" s="261"/>
    </row>
    <row r="28" spans="1:17" ht="20.100000000000001" customHeight="1" x14ac:dyDescent="0.25">
      <c r="A28" s="125"/>
      <c r="B28" s="10"/>
      <c r="C28" s="10"/>
      <c r="D28" s="75"/>
      <c r="E28" s="75"/>
      <c r="F28" s="75"/>
      <c r="G28" s="75"/>
      <c r="H28" s="10"/>
      <c r="I28" s="72"/>
      <c r="J28" s="269"/>
      <c r="K28" s="94"/>
      <c r="L28" s="470" t="s">
        <v>395</v>
      </c>
      <c r="M28" s="470"/>
      <c r="N28" s="471" t="str">
        <f>'DE (Final)'!C104</f>
        <v xml:space="preserve"> 27°43'23.40"N, 85°22'35.91"E</v>
      </c>
      <c r="O28" s="471"/>
    </row>
    <row r="29" spans="1:17" ht="6.6" customHeight="1" x14ac:dyDescent="0.25">
      <c r="A29" s="125"/>
      <c r="B29" s="10"/>
      <c r="C29" s="10"/>
      <c r="D29" s="276"/>
      <c r="E29" s="276"/>
      <c r="F29" s="276"/>
      <c r="G29" s="75"/>
      <c r="H29" s="10"/>
      <c r="I29" s="72"/>
      <c r="J29" s="269"/>
      <c r="K29" s="94"/>
      <c r="L29" s="277"/>
      <c r="M29" s="277"/>
      <c r="N29" s="276"/>
      <c r="O29" s="278"/>
    </row>
    <row r="30" spans="1:17" ht="15.75" x14ac:dyDescent="0.25">
      <c r="A30" s="279" t="s">
        <v>141</v>
      </c>
      <c r="B30" s="10"/>
      <c r="C30" s="10"/>
      <c r="D30" s="271"/>
      <c r="E30" s="272"/>
      <c r="F30" s="271"/>
      <c r="G30" s="10"/>
      <c r="H30" s="10"/>
      <c r="I30" s="72"/>
      <c r="J30" s="264"/>
      <c r="K30" s="94"/>
      <c r="L30" s="94"/>
      <c r="M30" s="94"/>
      <c r="N30" s="94"/>
      <c r="O30" s="127"/>
    </row>
    <row r="31" spans="1:17" ht="21.6" customHeight="1" x14ac:dyDescent="0.25">
      <c r="A31" s="469" t="str">
        <f>"The Considered Site is residential area located at "&amp;'DE (Final)'!C102&amp;"."</f>
        <v>The Considered Site is residential area located at Jorpati.</v>
      </c>
      <c r="B31" s="469"/>
      <c r="C31" s="469"/>
      <c r="D31" s="469"/>
      <c r="E31" s="469"/>
      <c r="F31" s="469"/>
      <c r="G31" s="469"/>
      <c r="H31" s="469"/>
      <c r="I31" s="469"/>
      <c r="J31" s="469"/>
      <c r="K31" s="469"/>
      <c r="L31" s="469"/>
      <c r="M31" s="469"/>
      <c r="N31" s="469"/>
      <c r="O31" s="469"/>
    </row>
    <row r="32" spans="1:17" ht="21.6" customHeight="1" x14ac:dyDescent="0.25">
      <c r="A32" s="469" t="str">
        <f>"Approx. "&amp;'DE (Final)'!C118&amp;"."</f>
        <v>Approx. 300m North-West from Agricultural Development Bank, Jorpati Branch via Jorpati.</v>
      </c>
      <c r="B32" s="469"/>
      <c r="C32" s="469"/>
      <c r="D32" s="469"/>
      <c r="E32" s="469"/>
      <c r="F32" s="469"/>
      <c r="G32" s="469"/>
      <c r="H32" s="469"/>
      <c r="I32" s="469"/>
      <c r="J32" s="469"/>
      <c r="K32" s="469"/>
      <c r="L32" s="469"/>
      <c r="M32" s="469"/>
      <c r="N32" s="469"/>
      <c r="O32" s="469"/>
    </row>
    <row r="33" spans="1:16" ht="21.6" customHeight="1" x14ac:dyDescent="0.25">
      <c r="A33" s="469" t="str">
        <f>"Access Road to the considered site is from "&amp;'DE (Final)'!C112&amp;"."</f>
        <v>Access Road to the considered site is from 10ft wide Concrete Slab Road at West Side.</v>
      </c>
      <c r="B33" s="469"/>
      <c r="C33" s="469"/>
      <c r="D33" s="469"/>
      <c r="E33" s="469"/>
      <c r="F33" s="469"/>
      <c r="G33" s="469"/>
      <c r="H33" s="469"/>
      <c r="I33" s="469"/>
      <c r="J33" s="469"/>
      <c r="K33" s="469"/>
      <c r="L33" s="469"/>
      <c r="M33" s="469"/>
      <c r="N33" s="469"/>
      <c r="O33" s="469"/>
    </row>
    <row r="34" spans="1:16" ht="21.6" customHeight="1" x14ac:dyDescent="0.25">
      <c r="A34" s="469" t="str">
        <f>"Public Transportation is "&amp;'DE (Final)'!C122&amp;" walking distance from the considered site."</f>
        <v>Public Transportation is 5min walking distance from the considered site.</v>
      </c>
      <c r="B34" s="469"/>
      <c r="C34" s="469"/>
      <c r="D34" s="469"/>
      <c r="E34" s="469"/>
      <c r="F34" s="469"/>
      <c r="G34" s="469"/>
      <c r="H34" s="469"/>
      <c r="I34" s="469"/>
      <c r="J34" s="469"/>
      <c r="K34" s="469"/>
      <c r="L34" s="469"/>
      <c r="M34" s="469"/>
      <c r="N34" s="469"/>
      <c r="O34" s="469"/>
    </row>
    <row r="35" spans="1:16" ht="34.9" customHeight="1" x14ac:dyDescent="0.25">
      <c r="A35" s="469" t="str">
        <f>IF(COUNTIF('DE (Final)'!C143:C151,TRUE)=0,
"No physical infrastructure services are available in the considered site.",
"Physical infrastructure services such as " &amp;
_xlfn.TEXTJOIN(", ", TRUE,
IF('DE (Final)'!C143,'DE (Final)'!B143,""),
IF('DE (Final)'!C145,'DE (Final)'!B145,""),
IF('DE (Final)'!C147,'DE (Final)'!B147,""),
IF('DE (Final)'!C149,'DE (Final)'!B149,""),
IF('DE (Final)'!C151,'DE (Final)'!B151,"")
) &amp;
IF(COUNTIF('DE (Final)'!C143:C151,TRUE)=1," is available"," are available") &amp;
" in the considered site.")</f>
        <v>Physical infrastructure services such as Water Supply Line, Sewerage Pipe Line, Electricity Line, Telephone Line, TV Cable are available in the considered site.</v>
      </c>
      <c r="B35" s="469"/>
      <c r="C35" s="469"/>
      <c r="D35" s="469"/>
      <c r="E35" s="469"/>
      <c r="F35" s="469"/>
      <c r="G35" s="469"/>
      <c r="H35" s="469"/>
      <c r="I35" s="469"/>
      <c r="J35" s="469"/>
      <c r="K35" s="469"/>
      <c r="L35" s="469"/>
      <c r="M35" s="469"/>
      <c r="N35" s="469"/>
      <c r="O35" s="469"/>
    </row>
    <row r="36" spans="1:16" ht="46.5" customHeight="1" x14ac:dyDescent="0.25">
      <c r="P36" s="69"/>
    </row>
    <row r="39" spans="1:16" x14ac:dyDescent="0.25">
      <c r="C39" s="462"/>
      <c r="D39" s="462"/>
      <c r="E39" s="462"/>
      <c r="F39" s="462"/>
      <c r="G39" s="462"/>
      <c r="H39" s="462"/>
      <c r="I39" s="462"/>
      <c r="J39" s="462"/>
      <c r="K39" s="462"/>
      <c r="L39" s="462"/>
      <c r="M39" s="462"/>
      <c r="N39" s="462"/>
      <c r="O39" s="462"/>
    </row>
  </sheetData>
  <mergeCells count="50">
    <mergeCell ref="A1:O1"/>
    <mergeCell ref="A9:C9"/>
    <mergeCell ref="A12:C12"/>
    <mergeCell ref="D12:E12"/>
    <mergeCell ref="A2:G2"/>
    <mergeCell ref="I2:L2"/>
    <mergeCell ref="M2:N2"/>
    <mergeCell ref="A4:G4"/>
    <mergeCell ref="I5:L5"/>
    <mergeCell ref="D9:E9"/>
    <mergeCell ref="D10:E10"/>
    <mergeCell ref="D11:E11"/>
    <mergeCell ref="I7:O7"/>
    <mergeCell ref="I6:O6"/>
    <mergeCell ref="L12:M12"/>
    <mergeCell ref="I3:O3"/>
    <mergeCell ref="C39:O39"/>
    <mergeCell ref="A10:C10"/>
    <mergeCell ref="A11:C11"/>
    <mergeCell ref="A13:C13"/>
    <mergeCell ref="A22:C22"/>
    <mergeCell ref="D22:H22"/>
    <mergeCell ref="B20:C20"/>
    <mergeCell ref="D20:H20"/>
    <mergeCell ref="D21:H21"/>
    <mergeCell ref="D17:F17"/>
    <mergeCell ref="I21:L21"/>
    <mergeCell ref="I22:L22"/>
    <mergeCell ref="A35:O35"/>
    <mergeCell ref="A33:O33"/>
    <mergeCell ref="I20:L20"/>
    <mergeCell ref="L11:M11"/>
    <mergeCell ref="L13:M13"/>
    <mergeCell ref="A16:B16"/>
    <mergeCell ref="D23:N23"/>
    <mergeCell ref="G17:H17"/>
    <mergeCell ref="A17:B17"/>
    <mergeCell ref="D16:F16"/>
    <mergeCell ref="D13:E13"/>
    <mergeCell ref="J18:O18"/>
    <mergeCell ref="B19:C19"/>
    <mergeCell ref="J16:O17"/>
    <mergeCell ref="G16:H16"/>
    <mergeCell ref="I19:L19"/>
    <mergeCell ref="M19:O22"/>
    <mergeCell ref="A34:O34"/>
    <mergeCell ref="A31:O31"/>
    <mergeCell ref="A32:O32"/>
    <mergeCell ref="L28:M28"/>
    <mergeCell ref="N28:O28"/>
  </mergeCells>
  <printOptions horizontalCentered="1" verticalCentered="1"/>
  <pageMargins left="0.70866141732283505" right="0.45866141700000002" top="0.74803149606299202" bottom="0.74803149606299202" header="0.31496062992126" footer="0.31496062992126"/>
  <pageSetup scale="88" orientation="portrait" r:id="rId1"/>
  <headerFooter>
    <oddFooter>&amp;R&amp;G</oddFooter>
  </headerFooter>
  <colBreaks count="1" manualBreakCount="1">
    <brk id="15" max="38"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sheetPr>
  <dimension ref="A1:S36"/>
  <sheetViews>
    <sheetView showGridLines="0" showWhiteSpace="0" view="pageBreakPreview" topLeftCell="A10" zoomScaleSheetLayoutView="100" workbookViewId="0">
      <selection activeCell="P35" sqref="P35:P38"/>
    </sheetView>
  </sheetViews>
  <sheetFormatPr defaultRowHeight="15" x14ac:dyDescent="0.25"/>
  <cols>
    <col min="1" max="1" width="4.5703125" customWidth="1"/>
    <col min="2" max="2" width="23.85546875" customWidth="1"/>
    <col min="3" max="3" width="3.7109375" customWidth="1"/>
    <col min="4" max="4" width="7" customWidth="1"/>
    <col min="5" max="5" width="10.5703125" customWidth="1"/>
    <col min="6" max="6" width="14.7109375" customWidth="1"/>
    <col min="7" max="7" width="16" bestFit="1" customWidth="1"/>
    <col min="8" max="8" width="15.28515625" customWidth="1"/>
    <col min="9" max="9" width="5.7109375" customWidth="1"/>
    <col min="10" max="10" width="15.140625" hidden="1" customWidth="1"/>
    <col min="11" max="12" width="9.140625" hidden="1" customWidth="1"/>
    <col min="13" max="13" width="0.140625" customWidth="1"/>
    <col min="14" max="15" width="9.140625" hidden="1" customWidth="1"/>
    <col min="16" max="16" width="14.28515625" bestFit="1" customWidth="1"/>
    <col min="17" max="17" width="13.28515625" bestFit="1" customWidth="1"/>
    <col min="18" max="18" width="13.7109375" bestFit="1" customWidth="1"/>
    <col min="19" max="19" width="10.140625" bestFit="1" customWidth="1"/>
    <col min="20" max="20" width="9.140625" bestFit="1" customWidth="1"/>
    <col min="23" max="23" width="10.140625" bestFit="1" customWidth="1"/>
  </cols>
  <sheetData>
    <row r="1" spans="1:17" ht="20.45" customHeight="1" x14ac:dyDescent="0.25">
      <c r="A1" s="522" t="str">
        <f>TOC!B18</f>
        <v>6. Valuation of the Property</v>
      </c>
      <c r="B1" s="523"/>
      <c r="C1" s="523"/>
      <c r="D1" s="523"/>
      <c r="E1" s="523"/>
      <c r="F1" s="523"/>
      <c r="G1" s="523"/>
      <c r="H1" s="524"/>
    </row>
    <row r="2" spans="1:17" s="10" customFormat="1" ht="24" customHeight="1" x14ac:dyDescent="0.25">
      <c r="A2" s="125" t="str">
        <f>'DE (Tentative)'!E8</f>
        <v>Owner 1</v>
      </c>
      <c r="C2" s="10" t="s">
        <v>7</v>
      </c>
      <c r="D2" s="509" t="str">
        <f>'DE (Tentative)'!F8</f>
        <v>Mr. Ram Bahadur Khatri</v>
      </c>
      <c r="E2" s="510"/>
      <c r="F2" s="510"/>
      <c r="G2" s="227" t="s">
        <v>9</v>
      </c>
      <c r="H2" s="252">
        <f>'DE (Tentative)'!C4</f>
        <v>46142</v>
      </c>
    </row>
    <row r="3" spans="1:17" s="10" customFormat="1" ht="24" customHeight="1" x14ac:dyDescent="0.25">
      <c r="A3" s="125" t="str">
        <f>'DE (Final)'!E27</f>
        <v>Owner 2</v>
      </c>
      <c r="C3" s="10" t="s">
        <v>7</v>
      </c>
      <c r="D3" s="509" t="str">
        <f>'DE (Final)'!F27</f>
        <v>Mrs. Saru Khatri</v>
      </c>
      <c r="E3" s="509"/>
      <c r="F3" s="509"/>
      <c r="G3" s="509"/>
      <c r="H3" s="517"/>
    </row>
    <row r="4" spans="1:17" ht="15.75" customHeight="1" x14ac:dyDescent="0.25">
      <c r="A4" s="119" t="s">
        <v>151</v>
      </c>
      <c r="B4" s="10"/>
      <c r="C4" s="10" t="s">
        <v>7</v>
      </c>
      <c r="D4" s="10" t="str">
        <f>'DE (Tentative)'!F4</f>
        <v>Land</v>
      </c>
      <c r="E4" s="10"/>
      <c r="F4" s="10"/>
      <c r="G4" s="10"/>
      <c r="H4" s="187"/>
    </row>
    <row r="5" spans="1:17" ht="17.25" customHeight="1" x14ac:dyDescent="0.25">
      <c r="A5" s="119" t="s">
        <v>8</v>
      </c>
      <c r="B5" s="10"/>
      <c r="C5" s="10" t="s">
        <v>7</v>
      </c>
      <c r="D5" s="463">
        <f>'DE (Final)'!C81</f>
        <v>298</v>
      </c>
      <c r="E5" s="463"/>
      <c r="F5" s="10"/>
      <c r="G5" s="10"/>
      <c r="H5" s="187"/>
    </row>
    <row r="6" spans="1:17" ht="31.5" customHeight="1" x14ac:dyDescent="0.25">
      <c r="A6" s="119" t="str">
        <f>'DE (Tentative)'!B28</f>
        <v>Location of the Property</v>
      </c>
      <c r="B6" s="10"/>
      <c r="C6" s="10" t="s">
        <v>7</v>
      </c>
      <c r="D6" s="463" t="str">
        <f>'DE (Tentative)'!C37</f>
        <v>Gokarneshwor Municipality-6 (Sabik Jorpati VDC-4), Kathmandu District</v>
      </c>
      <c r="E6" s="463"/>
      <c r="F6" s="463"/>
      <c r="G6" s="463"/>
      <c r="H6" s="516"/>
      <c r="J6">
        <f>1037.53/342.25</f>
        <v>3.0314974433893354</v>
      </c>
    </row>
    <row r="7" spans="1:17" s="2" customFormat="1" ht="19.899999999999999" customHeight="1" x14ac:dyDescent="0.25">
      <c r="A7" s="120" t="str">
        <f>'DE (Tentative)'!B8</f>
        <v>Client</v>
      </c>
      <c r="B7" s="72"/>
      <c r="C7" s="72" t="s">
        <v>7</v>
      </c>
      <c r="D7" s="75" t="str">
        <f>'DE (Tentative)'!C8</f>
        <v>Mr. Ram Bahadur Khatri</v>
      </c>
      <c r="E7" s="75"/>
      <c r="F7" s="75"/>
      <c r="G7" s="72"/>
      <c r="H7" s="189"/>
    </row>
    <row r="8" spans="1:17" s="2" customFormat="1" ht="15.75" x14ac:dyDescent="0.25">
      <c r="A8" s="519" t="s">
        <v>369</v>
      </c>
      <c r="B8" s="520"/>
      <c r="C8" s="520"/>
      <c r="D8" s="520"/>
      <c r="E8" s="520"/>
      <c r="F8" s="520"/>
      <c r="G8" s="520"/>
      <c r="H8" s="521"/>
    </row>
    <row r="9" spans="1:17" ht="31.5" x14ac:dyDescent="0.25">
      <c r="A9" s="218" t="s">
        <v>166</v>
      </c>
      <c r="B9" s="150" t="s">
        <v>0</v>
      </c>
      <c r="C9" s="525" t="s">
        <v>20</v>
      </c>
      <c r="D9" s="526"/>
      <c r="E9" s="217" t="s">
        <v>452</v>
      </c>
      <c r="F9" s="217" t="s">
        <v>1</v>
      </c>
      <c r="G9" s="218" t="s">
        <v>2</v>
      </c>
      <c r="H9" s="218" t="s">
        <v>3</v>
      </c>
      <c r="J9">
        <f>1048.14/342.25</f>
        <v>3.0624981738495256</v>
      </c>
    </row>
    <row r="10" spans="1:17" ht="82.5" customHeight="1" x14ac:dyDescent="0.25">
      <c r="A10" s="185">
        <v>1</v>
      </c>
      <c r="B10" s="78" t="s">
        <v>4</v>
      </c>
      <c r="C10" s="527">
        <f>D5</f>
        <v>298</v>
      </c>
      <c r="D10" s="528"/>
      <c r="E10" s="84">
        <f>'DE (Tentative)'!C215</f>
        <v>2.5499999999999998</v>
      </c>
      <c r="F10" s="167">
        <f>'DE (Tentative)'!C217</f>
        <v>890000</v>
      </c>
      <c r="G10" s="167">
        <f>E10*F10</f>
        <v>2269500</v>
      </c>
      <c r="H10" s="186" t="str">
        <f>"Rs. "&amp;'DE (Tentative)'!C218&amp;" Per Aana as per gov Rate "&amp;'DE (Tentative)'!I218&amp;" "&amp;'DE (Tentative)'!I217</f>
        <v xml:space="preserve">Rs. 8 Lakh 90 Thousand Per Aana as per gov Rate  </v>
      </c>
    </row>
    <row r="11" spans="1:17" ht="75" customHeight="1" x14ac:dyDescent="0.25">
      <c r="A11" s="185">
        <v>2</v>
      </c>
      <c r="B11" s="78" t="s">
        <v>5</v>
      </c>
      <c r="C11" s="529"/>
      <c r="D11" s="530"/>
      <c r="E11" s="84">
        <f>E10</f>
        <v>2.5499999999999998</v>
      </c>
      <c r="F11" s="167">
        <f>'DE (Tentative)'!F217</f>
        <v>4850000</v>
      </c>
      <c r="G11" s="79">
        <f>E11*F11</f>
        <v>12367500</v>
      </c>
      <c r="H11" s="78" t="s">
        <v>236</v>
      </c>
      <c r="K11">
        <v>13.63</v>
      </c>
    </row>
    <row r="12" spans="1:17" ht="30" x14ac:dyDescent="0.25">
      <c r="A12" s="148"/>
      <c r="B12" s="531" t="s">
        <v>184</v>
      </c>
      <c r="C12" s="531"/>
      <c r="D12" s="531"/>
      <c r="E12" s="531"/>
      <c r="F12" s="531"/>
      <c r="G12" s="163">
        <f>'DE (Tentative)'!C224</f>
        <v>7318499.9999999991</v>
      </c>
      <c r="H12" s="149" t="str">
        <f>"Sum of "&amp;'DE (Tentative)'!C220&amp;" of SN1 and "&amp;'DE (Tentative)'!F220&amp;" of SN2"</f>
        <v>Sum of 50% of SN1 and 50% of SN2</v>
      </c>
      <c r="K12">
        <f>1026.18/342.25</f>
        <v>2.9983345507669834</v>
      </c>
      <c r="O12">
        <f>87.42*10.76</f>
        <v>940.63919999999996</v>
      </c>
      <c r="P12" s="1"/>
      <c r="Q12" s="100"/>
    </row>
    <row r="13" spans="1:17" ht="31.5" customHeight="1" x14ac:dyDescent="0.25">
      <c r="A13" s="152"/>
      <c r="B13" s="518" t="str">
        <f>"Average Rate of Land per Anna (Taking weightage "&amp;'DE (Tentative)'!C220&amp;" of Gov Rate and "&amp;'DE (Tentative)'!F220&amp;" of market Rate)"</f>
        <v>Average Rate of Land per Anna (Taking weightage 50% of Gov Rate and 50% of market Rate)</v>
      </c>
      <c r="C13" s="518"/>
      <c r="D13" s="518"/>
      <c r="E13" s="518"/>
      <c r="F13" s="518"/>
      <c r="G13" s="14">
        <f>'DE (Tentative)'!D222</f>
        <v>2870000</v>
      </c>
      <c r="H13" s="153"/>
      <c r="P13" s="1"/>
      <c r="Q13" s="1"/>
    </row>
    <row r="14" spans="1:17" ht="11.25" customHeight="1" x14ac:dyDescent="0.25">
      <c r="A14" s="152"/>
      <c r="B14" s="67"/>
      <c r="C14" s="67"/>
      <c r="D14" s="67"/>
      <c r="E14" s="67"/>
      <c r="F14" s="67"/>
      <c r="G14" s="14"/>
      <c r="H14" s="154"/>
      <c r="P14" s="1"/>
    </row>
    <row r="15" spans="1:17" ht="19.899999999999999" customHeight="1" x14ac:dyDescent="0.25">
      <c r="A15" s="152"/>
      <c r="B15" s="553" t="str">
        <f>'DE (Tentative)'!C220&amp;" Of Government Value Of Land"</f>
        <v>50% Of Government Value Of Land</v>
      </c>
      <c r="C15" s="553"/>
      <c r="D15" s="553"/>
      <c r="E15" s="553"/>
      <c r="F15" s="97">
        <f>'DE (Tentative)'!C215*'DE (Tentative)'!C217*'DE (Tentative)'!C220</f>
        <v>1134750</v>
      </c>
      <c r="G15" s="544"/>
      <c r="H15" s="154"/>
      <c r="P15" s="1"/>
    </row>
    <row r="16" spans="1:17" ht="18.600000000000001" customHeight="1" x14ac:dyDescent="0.25">
      <c r="A16" s="152"/>
      <c r="B16" s="553" t="str">
        <f>'DE (Tentative)'!F220&amp;" Of Market Value Of Land"</f>
        <v>50% Of Market Value Of Land</v>
      </c>
      <c r="C16" s="553"/>
      <c r="D16" s="553"/>
      <c r="E16" s="553"/>
      <c r="F16" s="97">
        <f>'DE (Tentative)'!C215*'DE (Tentative)'!F217*'DE (Tentative)'!F220</f>
        <v>6183750</v>
      </c>
      <c r="G16" s="545"/>
      <c r="H16" s="154"/>
      <c r="P16" s="1"/>
    </row>
    <row r="17" spans="1:19" ht="19.149999999999999" customHeight="1" x14ac:dyDescent="0.25">
      <c r="A17" s="152"/>
      <c r="B17" s="554" t="s">
        <v>185</v>
      </c>
      <c r="C17" s="555"/>
      <c r="D17" s="555"/>
      <c r="E17" s="556"/>
      <c r="F17" s="102">
        <f>SUM(F15:F16)</f>
        <v>7318500</v>
      </c>
      <c r="G17" s="546"/>
      <c r="H17" s="154"/>
      <c r="P17" s="1"/>
    </row>
    <row r="18" spans="1:19" ht="11.25" customHeight="1" x14ac:dyDescent="0.25">
      <c r="A18" s="152"/>
      <c r="B18" s="159"/>
      <c r="C18" s="159"/>
      <c r="D18" s="159"/>
      <c r="E18" s="159"/>
      <c r="F18" s="160"/>
      <c r="G18" s="161"/>
      <c r="H18" s="154"/>
      <c r="P18" s="1"/>
    </row>
    <row r="19" spans="1:19" ht="18" customHeight="1" x14ac:dyDescent="0.3">
      <c r="A19" s="532" t="s">
        <v>233</v>
      </c>
      <c r="B19" s="533"/>
      <c r="C19" s="533"/>
      <c r="D19" s="533"/>
      <c r="E19" s="533"/>
      <c r="F19" s="533"/>
      <c r="G19" s="533"/>
      <c r="H19" s="534"/>
      <c r="R19" s="1"/>
    </row>
    <row r="20" spans="1:19" ht="30" customHeight="1" x14ac:dyDescent="0.25">
      <c r="A20" s="184" t="s">
        <v>166</v>
      </c>
      <c r="B20" s="547" t="s">
        <v>0</v>
      </c>
      <c r="C20" s="548"/>
      <c r="D20" s="548"/>
      <c r="E20" s="549"/>
      <c r="F20" s="114" t="s">
        <v>380</v>
      </c>
      <c r="G20" s="115" t="s">
        <v>379</v>
      </c>
      <c r="H20" s="157" t="s">
        <v>378</v>
      </c>
      <c r="P20" s="1"/>
      <c r="Q20" s="100"/>
    </row>
    <row r="21" spans="1:19" ht="20.100000000000001" customHeight="1" x14ac:dyDescent="0.25">
      <c r="A21" s="184">
        <v>1</v>
      </c>
      <c r="B21" s="550" t="s">
        <v>101</v>
      </c>
      <c r="C21" s="551"/>
      <c r="D21" s="551"/>
      <c r="E21" s="552"/>
      <c r="F21" s="164">
        <f>G11</f>
        <v>12367500</v>
      </c>
      <c r="G21" s="165">
        <f>G12</f>
        <v>7318499.9999999991</v>
      </c>
      <c r="H21" s="166">
        <f>ROUNDDOWN(G21,-3)</f>
        <v>7318000</v>
      </c>
      <c r="P21" s="1"/>
      <c r="Q21" s="1"/>
    </row>
    <row r="22" spans="1:19" ht="20.100000000000001" customHeight="1" x14ac:dyDescent="0.25">
      <c r="A22" s="184">
        <v>2</v>
      </c>
      <c r="B22" s="550" t="s">
        <v>145</v>
      </c>
      <c r="C22" s="551"/>
      <c r="D22" s="551"/>
      <c r="E22" s="552"/>
      <c r="F22" s="349" t="s">
        <v>536</v>
      </c>
      <c r="G22" s="349" t="s">
        <v>536</v>
      </c>
      <c r="H22" s="350" t="s">
        <v>536</v>
      </c>
      <c r="P22" s="1"/>
      <c r="Q22" s="100"/>
      <c r="R22" s="1"/>
      <c r="S22" s="1"/>
    </row>
    <row r="23" spans="1:19" ht="20.100000000000001" customHeight="1" x14ac:dyDescent="0.25">
      <c r="A23" s="77"/>
      <c r="B23" s="116"/>
      <c r="C23" s="116"/>
      <c r="D23" s="117"/>
      <c r="E23" s="155" t="s">
        <v>234</v>
      </c>
      <c r="F23" s="164">
        <f>SUM(F21:F22)</f>
        <v>12367500</v>
      </c>
      <c r="G23" s="165">
        <f>SUM(G21:G22)</f>
        <v>7318499.9999999991</v>
      </c>
      <c r="H23" s="166">
        <f>SUM(H21:H22)</f>
        <v>7318000</v>
      </c>
      <c r="P23" s="1"/>
      <c r="Q23" s="100"/>
      <c r="R23" s="1"/>
      <c r="S23" s="1"/>
    </row>
    <row r="24" spans="1:19" ht="18" customHeight="1" x14ac:dyDescent="0.25">
      <c r="A24" s="535" t="str">
        <f>"On the basis of the details provided by Client and Field verification, Fair Market Value of property to be mortgaged is valued NRs. "
&amp; TEXT(H23,"#,##0.00")
&amp; " In Words: NRs. "
&amp;'DE (Tentative)'!D754</f>
        <v>On the basis of the details provided by Client and Field verification, Fair Market Value of property to be mortgaged is valued NRs. 7,318,000.00 In Words: NRs. Seventy Three Lakh And Eighteen Thousand Only.</v>
      </c>
      <c r="B24" s="536"/>
      <c r="C24" s="536"/>
      <c r="D24" s="536"/>
      <c r="E24" s="536"/>
      <c r="F24" s="536"/>
      <c r="G24" s="536"/>
      <c r="H24" s="537"/>
      <c r="P24" s="1"/>
      <c r="Q24" s="1"/>
    </row>
    <row r="25" spans="1:19" ht="19.899999999999999" customHeight="1" x14ac:dyDescent="0.25">
      <c r="A25" s="538"/>
      <c r="B25" s="539"/>
      <c r="C25" s="539"/>
      <c r="D25" s="539"/>
      <c r="E25" s="539"/>
      <c r="F25" s="539"/>
      <c r="G25" s="539"/>
      <c r="H25" s="540"/>
      <c r="P25" s="1"/>
    </row>
    <row r="26" spans="1:19" ht="18.600000000000001" customHeight="1" x14ac:dyDescent="0.25">
      <c r="A26" s="541"/>
      <c r="B26" s="542"/>
      <c r="C26" s="542"/>
      <c r="D26" s="542"/>
      <c r="E26" s="542"/>
      <c r="F26" s="542"/>
      <c r="G26" s="542"/>
      <c r="H26" s="543"/>
      <c r="P26" s="1"/>
    </row>
    <row r="27" spans="1:19" x14ac:dyDescent="0.25">
      <c r="G27" s="1"/>
    </row>
    <row r="28" spans="1:19" x14ac:dyDescent="0.25">
      <c r="A28" s="2"/>
      <c r="H28" s="1"/>
    </row>
    <row r="29" spans="1:19" x14ac:dyDescent="0.25">
      <c r="B29" s="11"/>
      <c r="C29" s="11"/>
      <c r="D29" s="11"/>
      <c r="E29" s="11"/>
      <c r="F29" s="11"/>
      <c r="G29" s="11"/>
      <c r="H29" s="11"/>
    </row>
    <row r="32" spans="1:19" ht="15" customHeight="1" x14ac:dyDescent="0.25">
      <c r="A32" s="9"/>
      <c r="B32" s="463"/>
      <c r="C32" s="463"/>
      <c r="D32" s="463"/>
      <c r="E32" s="463"/>
      <c r="F32" s="463"/>
      <c r="G32" s="463"/>
      <c r="H32" s="463"/>
    </row>
    <row r="33" spans="1:8" x14ac:dyDescent="0.25">
      <c r="A33" s="9"/>
      <c r="B33" s="463"/>
      <c r="C33" s="463"/>
      <c r="D33" s="463"/>
      <c r="E33" s="463"/>
      <c r="F33" s="463"/>
      <c r="G33" s="463"/>
      <c r="H33" s="463"/>
    </row>
    <row r="34" spans="1:8" x14ac:dyDescent="0.25">
      <c r="B34" s="16"/>
      <c r="C34" s="16"/>
      <c r="D34" s="16"/>
      <c r="E34" s="16"/>
      <c r="F34" s="16"/>
      <c r="G34" s="16"/>
      <c r="H34" s="16"/>
    </row>
    <row r="35" spans="1:8" ht="15.75" customHeight="1" x14ac:dyDescent="0.25">
      <c r="B35" s="16"/>
      <c r="C35" s="16"/>
      <c r="D35" s="16"/>
      <c r="E35" s="16"/>
      <c r="F35" s="16"/>
      <c r="G35" s="16"/>
      <c r="H35" s="16"/>
    </row>
    <row r="36" spans="1:8" x14ac:dyDescent="0.25">
      <c r="H36" s="1"/>
    </row>
  </sheetData>
  <mergeCells count="20">
    <mergeCell ref="B32:H33"/>
    <mergeCell ref="A19:H19"/>
    <mergeCell ref="A24:H26"/>
    <mergeCell ref="G15:G17"/>
    <mergeCell ref="B20:E20"/>
    <mergeCell ref="B21:E21"/>
    <mergeCell ref="B22:E22"/>
    <mergeCell ref="B15:E15"/>
    <mergeCell ref="B16:E16"/>
    <mergeCell ref="B17:E17"/>
    <mergeCell ref="B13:F13"/>
    <mergeCell ref="A8:H8"/>
    <mergeCell ref="A1:H1"/>
    <mergeCell ref="C9:D9"/>
    <mergeCell ref="C10:D11"/>
    <mergeCell ref="B12:F12"/>
    <mergeCell ref="D5:E5"/>
    <mergeCell ref="D2:F2"/>
    <mergeCell ref="D6:H6"/>
    <mergeCell ref="D3:H3"/>
  </mergeCells>
  <printOptions horizontalCentered="1" verticalCentered="1"/>
  <pageMargins left="0.70866141732283505" right="0.45866141700000002" top="0.74803149606299202" bottom="0.74803149606299202" header="0.31496062992126" footer="0.31496062992126"/>
  <pageSetup scale="94" orientation="portrait" r:id="rId1"/>
  <headerFooter>
    <oddFooter>&amp;R&amp;G</oddFooter>
  </headerFooter>
  <rowBreaks count="1" manualBreakCount="1">
    <brk id="26" max="7" man="1"/>
  </rowBreaks>
  <colBreaks count="1" manualBreakCount="1">
    <brk id="8" max="1048575" man="1"/>
  </colBreaks>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B1:J80"/>
  <sheetViews>
    <sheetView view="pageLayout" topLeftCell="A44" workbookViewId="0">
      <selection activeCell="Q30" sqref="Q30"/>
    </sheetView>
  </sheetViews>
  <sheetFormatPr defaultRowHeight="15" x14ac:dyDescent="0.25"/>
  <cols>
    <col min="1" max="1" width="6.7109375" customWidth="1"/>
    <col min="2" max="2" width="3.28515625" customWidth="1"/>
    <col min="9" max="9" width="7.7109375" customWidth="1"/>
    <col min="10" max="10" width="12.28515625" customWidth="1"/>
  </cols>
  <sheetData>
    <row r="1" spans="2:10" ht="18.75" x14ac:dyDescent="0.3">
      <c r="B1" s="6" t="str">
        <f>TOC!B19</f>
        <v>7. Limiting Conditions</v>
      </c>
      <c r="C1" s="18"/>
      <c r="D1" s="18"/>
      <c r="E1" s="18"/>
      <c r="F1" s="18"/>
      <c r="G1" s="18"/>
      <c r="H1" s="18"/>
      <c r="I1" s="18"/>
      <c r="J1" s="18"/>
    </row>
    <row r="2" spans="2:10" ht="38.25" customHeight="1" x14ac:dyDescent="0.25">
      <c r="B2" s="464" t="s">
        <v>82</v>
      </c>
      <c r="C2" s="464"/>
      <c r="D2" s="464"/>
      <c r="E2" s="464"/>
      <c r="F2" s="464"/>
      <c r="G2" s="464"/>
      <c r="H2" s="464"/>
      <c r="I2" s="464"/>
      <c r="J2" s="464"/>
    </row>
    <row r="3" spans="2:10" ht="72.75" customHeight="1" x14ac:dyDescent="0.25">
      <c r="B3" s="464" t="s">
        <v>83</v>
      </c>
      <c r="C3" s="464"/>
      <c r="D3" s="464"/>
      <c r="E3" s="464"/>
      <c r="F3" s="464"/>
      <c r="G3" s="464"/>
      <c r="H3" s="464"/>
      <c r="I3" s="464"/>
      <c r="J3" s="464"/>
    </row>
    <row r="4" spans="2:10" x14ac:dyDescent="0.25">
      <c r="B4" s="17"/>
      <c r="C4" s="17"/>
      <c r="D4" s="17"/>
      <c r="E4" s="17"/>
      <c r="F4" s="17"/>
      <c r="G4" s="17"/>
      <c r="H4" s="17"/>
      <c r="I4" s="17"/>
      <c r="J4" s="17"/>
    </row>
    <row r="5" spans="2:10" x14ac:dyDescent="0.25">
      <c r="B5" s="18"/>
      <c r="C5" s="18"/>
      <c r="D5" s="18"/>
      <c r="E5" s="18"/>
      <c r="F5" s="18"/>
      <c r="G5" s="18"/>
      <c r="H5" s="18"/>
      <c r="I5" s="18"/>
      <c r="J5" s="18"/>
    </row>
    <row r="6" spans="2:10" ht="18.75" x14ac:dyDescent="0.3">
      <c r="B6" s="6" t="s">
        <v>228</v>
      </c>
      <c r="C6" s="18"/>
      <c r="D6" s="18"/>
      <c r="E6" s="18"/>
      <c r="F6" s="18"/>
      <c r="G6" s="18"/>
      <c r="H6" s="18"/>
      <c r="I6" s="18"/>
      <c r="J6" s="18"/>
    </row>
    <row r="7" spans="2:10" x14ac:dyDescent="0.25">
      <c r="B7" s="563"/>
      <c r="C7" s="564"/>
      <c r="D7" s="564"/>
      <c r="E7" s="564"/>
      <c r="F7" s="564"/>
      <c r="G7" s="564"/>
      <c r="H7" s="564"/>
      <c r="I7" s="564"/>
      <c r="J7" s="564"/>
    </row>
    <row r="8" spans="2:10" ht="61.5" customHeight="1" x14ac:dyDescent="0.25">
      <c r="B8" s="26" t="s">
        <v>189</v>
      </c>
      <c r="C8" s="463" t="s">
        <v>190</v>
      </c>
      <c r="D8" s="463"/>
      <c r="E8" s="463"/>
      <c r="F8" s="463"/>
      <c r="G8" s="463"/>
      <c r="H8" s="463"/>
      <c r="I8" s="463"/>
      <c r="J8" s="463"/>
    </row>
    <row r="9" spans="2:10" ht="35.25" customHeight="1" x14ac:dyDescent="0.25">
      <c r="B9" s="26" t="s">
        <v>191</v>
      </c>
      <c r="C9" s="565" t="s">
        <v>192</v>
      </c>
      <c r="D9" s="565"/>
      <c r="E9" s="565"/>
      <c r="F9" s="565"/>
      <c r="G9" s="565"/>
      <c r="H9" s="565"/>
      <c r="I9" s="565"/>
      <c r="J9" s="565"/>
    </row>
    <row r="10" spans="2:10" ht="18" hidden="1" customHeight="1" x14ac:dyDescent="0.25">
      <c r="B10" s="26">
        <v>3</v>
      </c>
      <c r="C10" s="464" t="s">
        <v>140</v>
      </c>
      <c r="D10" s="464"/>
      <c r="E10" s="464"/>
      <c r="F10" s="464"/>
      <c r="G10" s="464"/>
      <c r="H10" s="464"/>
      <c r="I10" s="464"/>
      <c r="J10" s="464"/>
    </row>
    <row r="11" spans="2:10" ht="48" customHeight="1" x14ac:dyDescent="0.25">
      <c r="B11" s="26" t="s">
        <v>193</v>
      </c>
      <c r="C11" s="464" t="s">
        <v>194</v>
      </c>
      <c r="D11" s="464"/>
      <c r="E11" s="464"/>
      <c r="F11" s="464"/>
      <c r="G11" s="464"/>
      <c r="H11" s="464"/>
      <c r="I11" s="464"/>
      <c r="J11" s="464"/>
    </row>
    <row r="12" spans="2:10" ht="79.900000000000006" customHeight="1" x14ac:dyDescent="0.25">
      <c r="B12" s="107" t="s">
        <v>196</v>
      </c>
      <c r="C12" s="464" t="s">
        <v>195</v>
      </c>
      <c r="D12" s="464"/>
      <c r="E12" s="464"/>
      <c r="F12" s="464"/>
      <c r="G12" s="464"/>
      <c r="H12" s="464"/>
      <c r="I12" s="464"/>
      <c r="J12" s="464"/>
    </row>
    <row r="13" spans="2:10" ht="19.5" customHeight="1" x14ac:dyDescent="0.25">
      <c r="B13" s="26" t="s">
        <v>198</v>
      </c>
      <c r="C13" s="464" t="s">
        <v>197</v>
      </c>
      <c r="D13" s="464"/>
      <c r="E13" s="464"/>
      <c r="F13" s="464"/>
      <c r="G13" s="464"/>
      <c r="H13" s="464"/>
      <c r="I13" s="464"/>
      <c r="J13" s="464"/>
    </row>
    <row r="14" spans="2:10" ht="21" customHeight="1" x14ac:dyDescent="0.25">
      <c r="B14" s="26"/>
      <c r="C14" s="26"/>
      <c r="D14" s="26"/>
      <c r="E14" s="26"/>
      <c r="F14" s="26"/>
      <c r="G14" s="26"/>
      <c r="H14" s="26"/>
      <c r="I14" s="26"/>
      <c r="J14" s="26"/>
    </row>
    <row r="15" spans="2:10" x14ac:dyDescent="0.25">
      <c r="B15" s="74"/>
      <c r="C15" s="567"/>
      <c r="D15" s="567"/>
      <c r="E15" s="567"/>
      <c r="F15" s="567"/>
      <c r="G15" s="567"/>
      <c r="H15" s="567"/>
      <c r="I15" s="567"/>
      <c r="J15" s="567"/>
    </row>
    <row r="16" spans="2:10" ht="34.5" customHeight="1" x14ac:dyDescent="0.25">
      <c r="B16" s="566" t="s">
        <v>84</v>
      </c>
      <c r="C16" s="566"/>
      <c r="D16" s="566"/>
      <c r="E16" s="566"/>
      <c r="F16" s="566"/>
      <c r="G16" s="566"/>
      <c r="H16" s="566"/>
      <c r="I16" s="566"/>
      <c r="J16" s="566"/>
    </row>
    <row r="17" spans="2:10" x14ac:dyDescent="0.25">
      <c r="B17" s="18"/>
      <c r="C17" s="18"/>
      <c r="D17" s="18"/>
      <c r="E17" s="18"/>
      <c r="F17" s="18"/>
      <c r="G17" s="18"/>
      <c r="H17" s="18"/>
      <c r="I17" s="18"/>
      <c r="J17" s="18"/>
    </row>
    <row r="18" spans="2:10" ht="18.75" x14ac:dyDescent="0.3">
      <c r="B18" s="6" t="s">
        <v>229</v>
      </c>
      <c r="C18" s="18"/>
      <c r="D18" s="18"/>
      <c r="E18" s="18"/>
      <c r="F18" s="18"/>
      <c r="G18" s="18"/>
      <c r="H18" s="18"/>
      <c r="I18" s="18"/>
      <c r="J18" s="18"/>
    </row>
    <row r="19" spans="2:10" x14ac:dyDescent="0.25">
      <c r="B19" s="18"/>
      <c r="C19" s="18"/>
      <c r="D19" s="18"/>
      <c r="E19" s="18"/>
      <c r="F19" s="18"/>
      <c r="G19" s="18"/>
      <c r="H19" s="18"/>
      <c r="I19" s="18"/>
      <c r="J19" s="18"/>
    </row>
    <row r="20" spans="2:10" ht="99.75" customHeight="1" x14ac:dyDescent="0.25">
      <c r="B20" s="464" t="s">
        <v>237</v>
      </c>
      <c r="C20" s="464"/>
      <c r="D20" s="464"/>
      <c r="E20" s="464"/>
      <c r="F20" s="464"/>
      <c r="G20" s="464"/>
      <c r="H20" s="464"/>
      <c r="I20" s="464"/>
      <c r="J20" s="464"/>
    </row>
    <row r="21" spans="2:10" ht="15.75" x14ac:dyDescent="0.25">
      <c r="B21" s="557"/>
      <c r="C21" s="557"/>
      <c r="D21" s="557"/>
      <c r="E21" s="557"/>
      <c r="F21" s="18"/>
      <c r="G21" s="18"/>
      <c r="H21" s="18"/>
      <c r="I21" s="18"/>
      <c r="J21" s="18"/>
    </row>
    <row r="22" spans="2:10" ht="15.75" x14ac:dyDescent="0.25">
      <c r="B22" s="182"/>
      <c r="C22" s="182"/>
      <c r="D22" s="182"/>
      <c r="E22" s="182"/>
      <c r="F22" s="18"/>
      <c r="G22" s="18"/>
      <c r="H22" s="18"/>
      <c r="I22" s="18"/>
      <c r="J22" s="18"/>
    </row>
    <row r="23" spans="2:10" ht="15.75" x14ac:dyDescent="0.25">
      <c r="G23" s="557"/>
      <c r="H23" s="557"/>
      <c r="I23" s="557"/>
      <c r="J23" s="557"/>
    </row>
    <row r="24" spans="2:10" ht="15.75" x14ac:dyDescent="0.25">
      <c r="G24" s="182"/>
      <c r="H24" s="182"/>
      <c r="I24" s="182"/>
      <c r="J24" s="182"/>
    </row>
    <row r="25" spans="2:10" ht="21.75" customHeight="1" x14ac:dyDescent="0.3">
      <c r="B25" s="6" t="s">
        <v>230</v>
      </c>
      <c r="C25" s="108"/>
      <c r="D25" s="108"/>
      <c r="E25" s="108"/>
      <c r="G25" s="557"/>
      <c r="H25" s="557"/>
      <c r="I25" s="557"/>
      <c r="J25" s="557"/>
    </row>
    <row r="26" spans="2:10" ht="81" customHeight="1" x14ac:dyDescent="0.25">
      <c r="B26" s="561" t="s">
        <v>199</v>
      </c>
      <c r="C26" s="561"/>
      <c r="D26" s="561"/>
      <c r="E26" s="561"/>
      <c r="F26" s="561"/>
      <c r="G26" s="561"/>
      <c r="H26" s="561"/>
      <c r="I26" s="561"/>
      <c r="J26" s="561"/>
    </row>
    <row r="27" spans="2:10" x14ac:dyDescent="0.25">
      <c r="B27" s="561"/>
      <c r="C27" s="561"/>
      <c r="D27" s="561"/>
      <c r="E27" s="561"/>
      <c r="F27" s="561"/>
      <c r="G27" s="561"/>
      <c r="H27" s="561"/>
      <c r="I27" s="561"/>
      <c r="J27" s="561"/>
    </row>
    <row r="28" spans="2:10" x14ac:dyDescent="0.25">
      <c r="B28" s="561"/>
      <c r="C28" s="561"/>
      <c r="D28" s="561"/>
      <c r="E28" s="561"/>
      <c r="F28" s="561"/>
      <c r="G28" s="561"/>
      <c r="H28" s="561"/>
      <c r="I28" s="561"/>
      <c r="J28" s="561"/>
    </row>
    <row r="29" spans="2:10" x14ac:dyDescent="0.25">
      <c r="B29" s="561"/>
      <c r="C29" s="561"/>
      <c r="D29" s="561"/>
      <c r="E29" s="561"/>
      <c r="F29" s="561"/>
      <c r="G29" s="561"/>
      <c r="H29" s="561"/>
      <c r="I29" s="561"/>
      <c r="J29" s="561"/>
    </row>
    <row r="30" spans="2:10" x14ac:dyDescent="0.25">
      <c r="B30" s="561"/>
      <c r="C30" s="561"/>
      <c r="D30" s="561"/>
      <c r="E30" s="561"/>
      <c r="F30" s="561"/>
      <c r="G30" s="561"/>
      <c r="H30" s="561"/>
      <c r="I30" s="561"/>
      <c r="J30" s="561"/>
    </row>
    <row r="31" spans="2:10" x14ac:dyDescent="0.25">
      <c r="B31" s="561"/>
      <c r="C31" s="561"/>
      <c r="D31" s="561"/>
      <c r="E31" s="561"/>
      <c r="F31" s="561"/>
      <c r="G31" s="561"/>
      <c r="H31" s="561"/>
      <c r="I31" s="561"/>
      <c r="J31" s="561"/>
    </row>
    <row r="32" spans="2:10" x14ac:dyDescent="0.25">
      <c r="B32" s="561"/>
      <c r="C32" s="561"/>
      <c r="D32" s="561"/>
      <c r="E32" s="561"/>
      <c r="F32" s="561"/>
      <c r="G32" s="561"/>
      <c r="H32" s="561"/>
      <c r="I32" s="561"/>
      <c r="J32" s="561"/>
    </row>
    <row r="33" spans="2:10" x14ac:dyDescent="0.25">
      <c r="B33" s="561"/>
      <c r="C33" s="561"/>
      <c r="D33" s="561"/>
      <c r="E33" s="561"/>
      <c r="F33" s="561"/>
      <c r="G33" s="561"/>
      <c r="H33" s="561"/>
      <c r="I33" s="561"/>
      <c r="J33" s="561"/>
    </row>
    <row r="34" spans="2:10" x14ac:dyDescent="0.25">
      <c r="B34" s="561"/>
      <c r="C34" s="561"/>
      <c r="D34" s="561"/>
      <c r="E34" s="561"/>
      <c r="F34" s="561"/>
      <c r="G34" s="561"/>
      <c r="H34" s="561"/>
      <c r="I34" s="561"/>
      <c r="J34" s="561"/>
    </row>
    <row r="35" spans="2:10" x14ac:dyDescent="0.25">
      <c r="B35" s="561"/>
      <c r="C35" s="561"/>
      <c r="D35" s="561"/>
      <c r="E35" s="561"/>
      <c r="F35" s="561"/>
      <c r="G35" s="561"/>
      <c r="H35" s="561"/>
      <c r="I35" s="561"/>
      <c r="J35" s="561"/>
    </row>
    <row r="36" spans="2:10" x14ac:dyDescent="0.25">
      <c r="B36" s="561"/>
      <c r="C36" s="561"/>
      <c r="D36" s="561"/>
      <c r="E36" s="561"/>
      <c r="F36" s="561"/>
      <c r="G36" s="561"/>
      <c r="H36" s="561"/>
      <c r="I36" s="561"/>
      <c r="J36" s="561"/>
    </row>
    <row r="37" spans="2:10" ht="12.75" customHeight="1" x14ac:dyDescent="0.25">
      <c r="B37" s="561"/>
      <c r="C37" s="561"/>
      <c r="D37" s="561"/>
      <c r="E37" s="561"/>
      <c r="F37" s="561"/>
      <c r="G37" s="561"/>
      <c r="H37" s="561"/>
      <c r="I37" s="561"/>
      <c r="J37" s="561"/>
    </row>
    <row r="39" spans="2:10" ht="36.75" customHeight="1" x14ac:dyDescent="0.3">
      <c r="B39" s="562" t="str">
        <f>TOC!B23</f>
        <v>11. Acceptance and Declaration of the Property by the Owner and the Client</v>
      </c>
      <c r="C39" s="562"/>
      <c r="D39" s="562"/>
      <c r="E39" s="562"/>
      <c r="F39" s="562"/>
      <c r="G39" s="562"/>
      <c r="H39" s="562"/>
      <c r="I39" s="562"/>
      <c r="J39" s="562"/>
    </row>
    <row r="40" spans="2:10" x14ac:dyDescent="0.25">
      <c r="B40" s="558" t="s">
        <v>182</v>
      </c>
      <c r="C40" s="558"/>
      <c r="D40" s="558"/>
      <c r="E40" s="558"/>
      <c r="F40" s="558"/>
      <c r="G40" s="558"/>
      <c r="H40" s="558"/>
      <c r="I40" s="558"/>
      <c r="J40" s="558"/>
    </row>
    <row r="41" spans="2:10" x14ac:dyDescent="0.25">
      <c r="B41" s="558"/>
      <c r="C41" s="558"/>
      <c r="D41" s="558"/>
      <c r="E41" s="558"/>
      <c r="F41" s="558"/>
      <c r="G41" s="558"/>
      <c r="H41" s="558"/>
      <c r="I41" s="558"/>
      <c r="J41" s="558"/>
    </row>
    <row r="42" spans="2:10" ht="31.15" customHeight="1" x14ac:dyDescent="0.25">
      <c r="B42" s="558"/>
      <c r="C42" s="558"/>
      <c r="D42" s="558"/>
      <c r="E42" s="558"/>
      <c r="F42" s="558"/>
      <c r="G42" s="558"/>
      <c r="H42" s="558"/>
      <c r="I42" s="558"/>
      <c r="J42" s="558"/>
    </row>
    <row r="43" spans="2:10" x14ac:dyDescent="0.25">
      <c r="B43" s="106"/>
      <c r="C43" s="106"/>
      <c r="D43" s="106"/>
      <c r="E43" s="106"/>
      <c r="F43" s="106"/>
      <c r="G43" s="106"/>
      <c r="H43" s="106"/>
      <c r="I43" s="106"/>
      <c r="J43" s="106"/>
    </row>
    <row r="44" spans="2:10" x14ac:dyDescent="0.25">
      <c r="B44" s="106"/>
      <c r="C44" s="106"/>
      <c r="D44" s="106"/>
      <c r="E44" s="106"/>
      <c r="F44" s="106"/>
      <c r="G44" s="106"/>
      <c r="H44" s="106"/>
      <c r="I44" s="106"/>
      <c r="J44" s="106"/>
    </row>
    <row r="45" spans="2:10" x14ac:dyDescent="0.25">
      <c r="B45" s="106"/>
      <c r="C45" s="106"/>
      <c r="D45" s="106"/>
      <c r="E45" s="106"/>
      <c r="F45" s="106"/>
      <c r="G45" s="106"/>
      <c r="H45" s="106"/>
      <c r="I45" s="106"/>
      <c r="J45" s="106"/>
    </row>
    <row r="46" spans="2:10" x14ac:dyDescent="0.25">
      <c r="B46" s="33"/>
      <c r="C46" s="33"/>
      <c r="D46" s="33"/>
      <c r="E46" s="33"/>
      <c r="F46" s="18"/>
      <c r="G46" s="33"/>
      <c r="H46" s="33"/>
      <c r="I46" s="33"/>
      <c r="J46" s="33"/>
    </row>
    <row r="47" spans="2:10" x14ac:dyDescent="0.25">
      <c r="B47" s="559" t="s">
        <v>181</v>
      </c>
      <c r="C47" s="559"/>
      <c r="D47" s="559"/>
      <c r="E47" s="559"/>
      <c r="F47" s="18"/>
      <c r="G47" s="559" t="s">
        <v>181</v>
      </c>
      <c r="H47" s="559"/>
      <c r="I47" s="559"/>
      <c r="J47" s="559"/>
    </row>
    <row r="48" spans="2:10" ht="15.75" x14ac:dyDescent="0.25">
      <c r="B48" s="557" t="str">
        <f>'DE (Final)'!F14</f>
        <v>Mr. Ram Bahadur Khatri</v>
      </c>
      <c r="C48" s="557"/>
      <c r="D48" s="557"/>
      <c r="E48" s="557"/>
      <c r="F48" s="18"/>
      <c r="G48" s="557" t="str">
        <f>'DE (Final)'!F27</f>
        <v>Mrs. Saru Khatri</v>
      </c>
      <c r="H48" s="557"/>
      <c r="I48" s="557"/>
      <c r="J48" s="557"/>
    </row>
    <row r="49" spans="2:10" ht="15.75" x14ac:dyDescent="0.25">
      <c r="B49" s="557" t="str">
        <f>'DE (Final)'!E14</f>
        <v>Owner 1</v>
      </c>
      <c r="C49" s="557"/>
      <c r="D49" s="557"/>
      <c r="E49" s="557"/>
      <c r="F49" s="18"/>
      <c r="G49" s="557" t="str">
        <f>'DE (Final)'!E27</f>
        <v>Owner 2</v>
      </c>
      <c r="H49" s="557"/>
      <c r="I49" s="557"/>
      <c r="J49" s="557"/>
    </row>
    <row r="50" spans="2:10" ht="15.75" x14ac:dyDescent="0.25">
      <c r="B50" s="182"/>
      <c r="C50" s="182"/>
      <c r="D50" s="182"/>
      <c r="E50" s="182"/>
      <c r="F50" s="18"/>
      <c r="G50" s="182"/>
      <c r="H50" s="182"/>
      <c r="I50" s="182"/>
      <c r="J50" s="182"/>
    </row>
    <row r="51" spans="2:10" ht="15.75" x14ac:dyDescent="0.25">
      <c r="B51" s="182"/>
      <c r="C51" s="182"/>
      <c r="D51" s="182"/>
      <c r="E51" s="182"/>
      <c r="F51" s="18"/>
      <c r="G51" s="182"/>
      <c r="H51" s="182"/>
      <c r="I51" s="182"/>
      <c r="J51" s="182"/>
    </row>
    <row r="52" spans="2:10" ht="15.75" x14ac:dyDescent="0.25">
      <c r="B52" s="182"/>
      <c r="C52" s="182"/>
      <c r="D52" s="182"/>
      <c r="E52" s="182"/>
      <c r="F52" s="18"/>
      <c r="G52" s="182"/>
      <c r="H52" s="182"/>
      <c r="I52" s="182"/>
      <c r="J52" s="182"/>
    </row>
    <row r="53" spans="2:10" ht="15.75" x14ac:dyDescent="0.25">
      <c r="B53" s="182"/>
      <c r="C53" s="182"/>
      <c r="D53" s="182"/>
      <c r="E53" s="182"/>
      <c r="F53" s="18"/>
      <c r="G53" s="182"/>
      <c r="H53" s="182"/>
      <c r="I53" s="182"/>
      <c r="J53" s="182"/>
    </row>
    <row r="54" spans="2:10" ht="15.75" x14ac:dyDescent="0.25">
      <c r="B54" s="182"/>
      <c r="C54" s="182"/>
      <c r="D54" s="182"/>
      <c r="E54" s="559" t="s">
        <v>181</v>
      </c>
      <c r="F54" s="559"/>
      <c r="G54" s="559"/>
      <c r="H54" s="559"/>
      <c r="I54" s="182"/>
      <c r="J54" s="182"/>
    </row>
    <row r="55" spans="2:10" ht="15.75" x14ac:dyDescent="0.25">
      <c r="B55" s="182"/>
      <c r="C55" s="182"/>
      <c r="D55" s="182"/>
      <c r="E55" s="557" t="str">
        <f>'DE (Final)'!C14</f>
        <v>Mr. Ram Bahadur Khatri</v>
      </c>
      <c r="F55" s="557"/>
      <c r="G55" s="557"/>
      <c r="H55" s="557"/>
      <c r="I55" s="182"/>
      <c r="J55" s="182"/>
    </row>
    <row r="56" spans="2:10" ht="15.75" x14ac:dyDescent="0.25">
      <c r="E56" s="557" t="str">
        <f>'DE (Final)'!B14</f>
        <v>Client</v>
      </c>
      <c r="F56" s="557"/>
      <c r="G56" s="557"/>
      <c r="H56" s="557"/>
    </row>
    <row r="57" spans="2:10" ht="15.75" x14ac:dyDescent="0.25">
      <c r="E57" s="182"/>
      <c r="F57" s="182"/>
      <c r="G57" s="182"/>
      <c r="H57" s="182"/>
    </row>
    <row r="58" spans="2:10" ht="15.75" x14ac:dyDescent="0.25">
      <c r="E58" s="182"/>
      <c r="F58" s="182"/>
      <c r="G58" s="182"/>
      <c r="H58" s="182"/>
    </row>
    <row r="59" spans="2:10" ht="15.75" x14ac:dyDescent="0.25">
      <c r="E59" s="182"/>
      <c r="F59" s="182"/>
      <c r="G59" s="182"/>
      <c r="H59" s="182"/>
    </row>
    <row r="60" spans="2:10" ht="15.75" x14ac:dyDescent="0.25">
      <c r="E60" s="182"/>
      <c r="F60" s="182"/>
      <c r="G60" s="182"/>
      <c r="H60" s="182"/>
    </row>
    <row r="61" spans="2:10" ht="15.75" x14ac:dyDescent="0.25">
      <c r="E61" s="182"/>
      <c r="F61" s="182"/>
      <c r="G61" s="182"/>
      <c r="H61" s="182"/>
    </row>
    <row r="62" spans="2:10" ht="15.75" x14ac:dyDescent="0.25">
      <c r="E62" s="182"/>
      <c r="F62" s="182"/>
      <c r="G62" s="182"/>
      <c r="H62" s="182"/>
    </row>
    <row r="63" spans="2:10" ht="15.75" x14ac:dyDescent="0.25">
      <c r="E63" s="182"/>
      <c r="F63" s="182"/>
      <c r="G63" s="182"/>
      <c r="H63" s="182"/>
    </row>
    <row r="64" spans="2:10" ht="15.75" x14ac:dyDescent="0.25">
      <c r="E64" s="182"/>
      <c r="F64" s="182"/>
      <c r="G64" s="182"/>
      <c r="H64" s="182"/>
    </row>
    <row r="65" spans="2:10" ht="15.75" x14ac:dyDescent="0.25">
      <c r="E65" s="355"/>
      <c r="F65" s="355"/>
      <c r="G65" s="355"/>
      <c r="H65" s="355"/>
    </row>
    <row r="66" spans="2:10" ht="15.75" x14ac:dyDescent="0.25">
      <c r="E66" s="355"/>
      <c r="F66" s="355"/>
      <c r="G66" s="355"/>
      <c r="H66" s="355"/>
    </row>
    <row r="67" spans="2:10" ht="15.75" x14ac:dyDescent="0.25">
      <c r="E67" s="355"/>
      <c r="F67" s="355"/>
      <c r="G67" s="355"/>
      <c r="H67" s="355"/>
    </row>
    <row r="68" spans="2:10" ht="15.75" x14ac:dyDescent="0.25">
      <c r="E68" s="355"/>
      <c r="F68" s="355"/>
      <c r="G68" s="355"/>
      <c r="H68" s="355"/>
    </row>
    <row r="69" spans="2:10" ht="15.75" x14ac:dyDescent="0.25">
      <c r="E69" s="182"/>
      <c r="F69" s="182"/>
      <c r="G69" s="182"/>
      <c r="H69" s="182"/>
    </row>
    <row r="70" spans="2:10" ht="18.75" x14ac:dyDescent="0.3">
      <c r="B70" s="104" t="s">
        <v>231</v>
      </c>
      <c r="C70" s="105"/>
      <c r="D70" s="105"/>
      <c r="E70" s="105"/>
      <c r="F70" s="105"/>
      <c r="G70" s="105"/>
      <c r="H70" s="105"/>
      <c r="I70" s="105"/>
      <c r="J70" s="105"/>
    </row>
    <row r="71" spans="2:10" x14ac:dyDescent="0.25">
      <c r="B71" s="558" t="s">
        <v>381</v>
      </c>
      <c r="C71" s="558"/>
      <c r="D71" s="558"/>
      <c r="E71" s="558"/>
      <c r="F71" s="558"/>
      <c r="G71" s="558"/>
      <c r="H71" s="558"/>
      <c r="I71" s="558"/>
      <c r="J71" s="558"/>
    </row>
    <row r="72" spans="2:10" x14ac:dyDescent="0.25">
      <c r="B72" s="558"/>
      <c r="C72" s="558"/>
      <c r="D72" s="558"/>
      <c r="E72" s="558"/>
      <c r="F72" s="558"/>
      <c r="G72" s="558"/>
      <c r="H72" s="558"/>
      <c r="I72" s="558"/>
      <c r="J72" s="558"/>
    </row>
    <row r="73" spans="2:10" ht="35.25" customHeight="1" x14ac:dyDescent="0.25">
      <c r="B73" s="558"/>
      <c r="C73" s="558"/>
      <c r="D73" s="558"/>
      <c r="E73" s="558"/>
      <c r="F73" s="558"/>
      <c r="G73" s="558"/>
      <c r="H73" s="558"/>
      <c r="I73" s="558"/>
      <c r="J73" s="558"/>
    </row>
    <row r="74" spans="2:10" x14ac:dyDescent="0.25">
      <c r="B74" s="106"/>
      <c r="C74" s="106"/>
      <c r="D74" s="106"/>
      <c r="E74" s="106"/>
      <c r="F74" s="106"/>
      <c r="G74" s="106"/>
      <c r="H74" s="106"/>
      <c r="I74" s="106"/>
      <c r="J74" s="106"/>
    </row>
    <row r="75" spans="2:10" x14ac:dyDescent="0.25">
      <c r="B75" s="106"/>
      <c r="C75" s="106"/>
      <c r="D75" s="106"/>
      <c r="E75" s="106"/>
      <c r="F75" s="106"/>
      <c r="G75" s="106"/>
      <c r="H75" s="106"/>
      <c r="I75" s="106"/>
      <c r="J75" s="106"/>
    </row>
    <row r="76" spans="2:10" x14ac:dyDescent="0.25">
      <c r="B76" s="106"/>
      <c r="C76" s="106"/>
      <c r="D76" s="106"/>
      <c r="E76" s="106"/>
      <c r="F76" s="106"/>
      <c r="G76" s="106"/>
      <c r="H76" s="106"/>
      <c r="I76" s="106"/>
      <c r="J76" s="106"/>
    </row>
    <row r="77" spans="2:10" x14ac:dyDescent="0.25">
      <c r="B77" s="33"/>
      <c r="C77" s="33"/>
      <c r="D77" s="33"/>
      <c r="E77" s="33"/>
      <c r="F77" s="18"/>
    </row>
    <row r="78" spans="2:10" x14ac:dyDescent="0.25">
      <c r="B78" s="559" t="s">
        <v>187</v>
      </c>
      <c r="C78" s="559"/>
      <c r="D78" s="559"/>
      <c r="E78" s="559"/>
      <c r="F78" s="18"/>
      <c r="G78" s="559" t="s">
        <v>188</v>
      </c>
      <c r="H78" s="559"/>
      <c r="I78" s="559"/>
      <c r="J78" s="559"/>
    </row>
    <row r="79" spans="2:10" ht="15.75" x14ac:dyDescent="0.25">
      <c r="B79" s="557" t="str">
        <f>'DE (Final)'!C7</f>
        <v>Ayush Bhujel</v>
      </c>
      <c r="C79" s="557"/>
      <c r="D79" s="557"/>
      <c r="E79" s="557"/>
      <c r="F79" s="18"/>
      <c r="G79" s="557" t="s">
        <v>186</v>
      </c>
      <c r="H79" s="557"/>
      <c r="I79" s="557"/>
      <c r="J79" s="557"/>
    </row>
    <row r="80" spans="2:10" ht="15.75" x14ac:dyDescent="0.25">
      <c r="B80" s="560" t="str">
        <f>"Mobile No. "&amp;'DE (Final)'!F7</f>
        <v>Mobile No. 9851316736</v>
      </c>
      <c r="C80" s="560"/>
      <c r="D80" s="560"/>
      <c r="E80" s="560"/>
      <c r="F80" s="18"/>
      <c r="G80" s="560" t="s">
        <v>383</v>
      </c>
      <c r="H80" s="560"/>
      <c r="I80" s="560"/>
      <c r="J80" s="560"/>
    </row>
  </sheetData>
  <mergeCells count="34">
    <mergeCell ref="B20:J20"/>
    <mergeCell ref="C12:J12"/>
    <mergeCell ref="B16:J16"/>
    <mergeCell ref="C11:J11"/>
    <mergeCell ref="C10:J10"/>
    <mergeCell ref="C13:J13"/>
    <mergeCell ref="C15:J15"/>
    <mergeCell ref="B2:J2"/>
    <mergeCell ref="B3:J3"/>
    <mergeCell ref="B7:J7"/>
    <mergeCell ref="C8:J8"/>
    <mergeCell ref="C9:J9"/>
    <mergeCell ref="B40:J42"/>
    <mergeCell ref="B47:E47"/>
    <mergeCell ref="B48:E48"/>
    <mergeCell ref="B21:E21"/>
    <mergeCell ref="G23:J23"/>
    <mergeCell ref="G25:J25"/>
    <mergeCell ref="B26:J37"/>
    <mergeCell ref="G47:J47"/>
    <mergeCell ref="G48:J48"/>
    <mergeCell ref="B39:J39"/>
    <mergeCell ref="G49:J49"/>
    <mergeCell ref="B71:J73"/>
    <mergeCell ref="B78:E78"/>
    <mergeCell ref="B79:E79"/>
    <mergeCell ref="B80:E80"/>
    <mergeCell ref="G78:J78"/>
    <mergeCell ref="G79:J79"/>
    <mergeCell ref="G80:J80"/>
    <mergeCell ref="B49:E49"/>
    <mergeCell ref="E54:H54"/>
    <mergeCell ref="E55:H55"/>
    <mergeCell ref="E56:H56"/>
  </mergeCells>
  <printOptions horizontalCentered="1" verticalCentered="1"/>
  <pageMargins left="0.70866141732283505" right="0.45866141700000002" top="0.74803149606299202" bottom="0.74803149606299202" header="0.31496062992126" footer="0.31496062992126"/>
  <pageSetup orientation="portrait" horizontalDpi="4294967293" r:id="rId1"/>
  <headerFooter>
    <oddFooter>&amp;R&amp;G</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8"/>
  <sheetViews>
    <sheetView topLeftCell="A3" workbookViewId="0">
      <selection activeCell="G3" sqref="G3"/>
    </sheetView>
  </sheetViews>
  <sheetFormatPr defaultRowHeight="15" x14ac:dyDescent="0.25"/>
  <sheetData>
    <row r="1" spans="1:6" ht="15.75" x14ac:dyDescent="0.25">
      <c r="A1" s="60" t="s">
        <v>107</v>
      </c>
    </row>
    <row r="2" spans="1:6" x14ac:dyDescent="0.25">
      <c r="A2" s="21"/>
    </row>
    <row r="3" spans="1:6" ht="409.5" x14ac:dyDescent="0.25">
      <c r="A3" s="20">
        <v>1</v>
      </c>
      <c r="B3" s="20" t="s">
        <v>108</v>
      </c>
    </row>
    <row r="4" spans="1:6" ht="126" x14ac:dyDescent="0.25">
      <c r="B4" s="20">
        <v>2</v>
      </c>
      <c r="C4" s="20" t="s">
        <v>109</v>
      </c>
      <c r="D4" s="20" t="s">
        <v>110</v>
      </c>
      <c r="E4" s="20" t="s">
        <v>111</v>
      </c>
    </row>
    <row r="5" spans="1:6" ht="157.5" x14ac:dyDescent="0.25">
      <c r="B5" s="20">
        <v>3</v>
      </c>
      <c r="C5" s="20" t="s">
        <v>112</v>
      </c>
      <c r="D5" s="20" t="s">
        <v>113</v>
      </c>
      <c r="E5" s="20" t="s">
        <v>114</v>
      </c>
      <c r="F5" s="20" t="s">
        <v>115</v>
      </c>
    </row>
    <row r="6" spans="1:6" ht="15.75" x14ac:dyDescent="0.25">
      <c r="A6" s="20"/>
    </row>
    <row r="7" spans="1:6" ht="393.75" x14ac:dyDescent="0.25">
      <c r="A7" s="61" t="s">
        <v>116</v>
      </c>
    </row>
    <row r="8" spans="1:6" ht="409.5" x14ac:dyDescent="0.25">
      <c r="A8" s="61" t="s">
        <v>117</v>
      </c>
    </row>
    <row r="9" spans="1:6" ht="20.25" x14ac:dyDescent="0.3">
      <c r="B9" s="62" t="s">
        <v>118</v>
      </c>
    </row>
    <row r="10" spans="1:6" ht="173.25" x14ac:dyDescent="0.25">
      <c r="B10" s="20" t="s">
        <v>119</v>
      </c>
      <c r="C10" s="20" t="s">
        <v>120</v>
      </c>
    </row>
    <row r="11" spans="1:6" ht="20.25" x14ac:dyDescent="0.3">
      <c r="B11" s="62" t="s">
        <v>121</v>
      </c>
    </row>
    <row r="12" spans="1:6" ht="173.25" x14ac:dyDescent="0.25">
      <c r="B12" s="61" t="s">
        <v>122</v>
      </c>
      <c r="C12" s="20" t="s">
        <v>123</v>
      </c>
      <c r="D12" s="20" t="s">
        <v>124</v>
      </c>
    </row>
    <row r="13" spans="1:6" ht="189" x14ac:dyDescent="0.25">
      <c r="B13" s="61" t="s">
        <v>125</v>
      </c>
      <c r="C13" s="20" t="s">
        <v>126</v>
      </c>
      <c r="D13" s="20" t="s">
        <v>127</v>
      </c>
    </row>
    <row r="14" spans="1:6" ht="173.25" x14ac:dyDescent="0.25">
      <c r="B14" s="61" t="s">
        <v>128</v>
      </c>
      <c r="C14" s="20" t="s">
        <v>129</v>
      </c>
      <c r="D14" s="20" t="s">
        <v>130</v>
      </c>
    </row>
    <row r="15" spans="1:6" ht="157.5" x14ac:dyDescent="0.25">
      <c r="B15" s="61" t="s">
        <v>131</v>
      </c>
      <c r="C15" s="20" t="s">
        <v>132</v>
      </c>
    </row>
    <row r="16" spans="1:6" ht="189" x14ac:dyDescent="0.25">
      <c r="B16" s="61" t="s">
        <v>133</v>
      </c>
      <c r="C16" s="20" t="s">
        <v>134</v>
      </c>
      <c r="D16" s="20" t="s">
        <v>135</v>
      </c>
    </row>
    <row r="17" spans="2:3" ht="189" x14ac:dyDescent="0.25">
      <c r="B17" s="61" t="s">
        <v>136</v>
      </c>
      <c r="C17" s="20" t="s">
        <v>137</v>
      </c>
    </row>
    <row r="18" spans="2:3" ht="15.75" x14ac:dyDescent="0.25">
      <c r="B18" s="63" t="s">
        <v>138</v>
      </c>
      <c r="C18" s="22" t="s">
        <v>139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workbookViewId="0">
      <selection activeCell="K24" sqref="K24"/>
    </sheetView>
  </sheetViews>
  <sheetFormatPr defaultRowHeight="15" x14ac:dyDescent="0.25"/>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0000"/>
  </sheetPr>
  <dimension ref="B1:K62"/>
  <sheetViews>
    <sheetView view="pageLayout" topLeftCell="A40" zoomScaleNormal="100" workbookViewId="0">
      <selection activeCell="C51" sqref="C51:C52"/>
    </sheetView>
  </sheetViews>
  <sheetFormatPr defaultRowHeight="15" x14ac:dyDescent="0.25"/>
  <cols>
    <col min="1" max="2" width="3.28515625" customWidth="1"/>
    <col min="3" max="3" width="13.5703125" customWidth="1"/>
    <col min="4" max="4" width="14.28515625" customWidth="1"/>
    <col min="7" max="7" width="12.5703125" customWidth="1"/>
    <col min="8" max="8" width="9.5703125" customWidth="1"/>
    <col min="9" max="9" width="13.85546875" customWidth="1"/>
    <col min="10" max="10" width="4" bestFit="1" customWidth="1"/>
    <col min="11" max="11" width="10.5703125" bestFit="1" customWidth="1"/>
  </cols>
  <sheetData>
    <row r="1" spans="2:10" ht="15.75" x14ac:dyDescent="0.25">
      <c r="B1" s="23"/>
      <c r="C1" s="24" t="str">
        <f>TOC!B25</f>
        <v>13. Site Measurement of the Land (Area Calculation)</v>
      </c>
      <c r="D1" s="24"/>
      <c r="E1" s="24"/>
      <c r="F1" s="25"/>
      <c r="G1" s="18"/>
      <c r="H1" s="18"/>
      <c r="I1" s="18"/>
      <c r="J1" s="18"/>
    </row>
    <row r="2" spans="2:10" ht="15.6" customHeight="1" x14ac:dyDescent="0.25">
      <c r="B2" s="23"/>
      <c r="C2" s="585" t="s">
        <v>168</v>
      </c>
      <c r="D2" s="585"/>
      <c r="E2" s="585"/>
      <c r="F2" s="585"/>
      <c r="G2" s="585"/>
      <c r="H2" s="585"/>
      <c r="I2" s="585"/>
      <c r="J2" s="18"/>
    </row>
    <row r="3" spans="2:10" ht="15.75" x14ac:dyDescent="0.25">
      <c r="B3" s="23"/>
      <c r="C3" s="585"/>
      <c r="D3" s="585"/>
      <c r="E3" s="585"/>
      <c r="F3" s="585"/>
      <c r="G3" s="585"/>
      <c r="H3" s="585"/>
      <c r="I3" s="585"/>
      <c r="J3" s="18"/>
    </row>
    <row r="4" spans="2:10" ht="15.75" x14ac:dyDescent="0.25">
      <c r="B4" s="23"/>
      <c r="C4" s="585"/>
      <c r="D4" s="585"/>
      <c r="E4" s="585"/>
      <c r="F4" s="585"/>
      <c r="G4" s="585"/>
      <c r="H4" s="585"/>
      <c r="I4" s="585"/>
      <c r="J4" s="18"/>
    </row>
    <row r="5" spans="2:10" ht="15.75" x14ac:dyDescent="0.25">
      <c r="B5" s="23"/>
      <c r="C5" s="586" t="s">
        <v>334</v>
      </c>
      <c r="D5" s="586"/>
      <c r="E5" s="586"/>
      <c r="F5" s="586"/>
      <c r="G5" s="586"/>
      <c r="H5" s="586"/>
      <c r="I5" s="586"/>
      <c r="J5" s="18"/>
    </row>
    <row r="6" spans="2:10" ht="15.75" x14ac:dyDescent="0.25">
      <c r="B6" s="23"/>
      <c r="C6" s="586"/>
      <c r="D6" s="586"/>
      <c r="E6" s="586"/>
      <c r="F6" s="586"/>
      <c r="G6" s="586"/>
      <c r="H6" s="586"/>
      <c r="I6" s="586"/>
      <c r="J6" s="18"/>
    </row>
    <row r="7" spans="2:10" ht="15.75" x14ac:dyDescent="0.25">
      <c r="B7" s="23"/>
      <c r="C7" s="95" t="s">
        <v>335</v>
      </c>
      <c r="D7" s="95"/>
      <c r="E7" s="95"/>
      <c r="F7" s="95"/>
      <c r="G7" s="96"/>
      <c r="H7" s="96"/>
      <c r="I7" s="96"/>
    </row>
    <row r="8" spans="2:10" ht="15.75" x14ac:dyDescent="0.25">
      <c r="B8" s="23"/>
      <c r="C8" s="95" t="s">
        <v>169</v>
      </c>
      <c r="D8" s="95"/>
      <c r="E8" s="95"/>
      <c r="F8" s="95"/>
      <c r="G8" s="96"/>
      <c r="H8" s="96"/>
      <c r="I8" s="96"/>
    </row>
    <row r="9" spans="2:10" ht="15.75" x14ac:dyDescent="0.25">
      <c r="B9" s="23"/>
      <c r="C9" s="24"/>
      <c r="D9" s="24"/>
      <c r="E9" s="24"/>
      <c r="F9" s="25"/>
      <c r="G9" s="18"/>
      <c r="H9" s="18"/>
      <c r="I9" s="18"/>
    </row>
    <row r="10" spans="2:10" x14ac:dyDescent="0.25">
      <c r="B10" s="35" t="s">
        <v>36</v>
      </c>
      <c r="C10" s="36" t="s">
        <v>336</v>
      </c>
      <c r="D10" s="26"/>
      <c r="E10" s="26"/>
      <c r="F10" s="18"/>
      <c r="G10" s="18"/>
      <c r="H10" s="18"/>
      <c r="I10" s="18"/>
    </row>
    <row r="11" spans="2:10" ht="45" x14ac:dyDescent="0.25">
      <c r="B11" s="19"/>
      <c r="C11" s="53" t="s">
        <v>103</v>
      </c>
      <c r="D11" s="54" t="s">
        <v>85</v>
      </c>
      <c r="E11" s="54" t="s">
        <v>86</v>
      </c>
      <c r="F11" s="54" t="s">
        <v>87</v>
      </c>
      <c r="G11" s="54" t="s">
        <v>88</v>
      </c>
      <c r="H11" s="53" t="s">
        <v>89</v>
      </c>
      <c r="I11" s="54" t="s">
        <v>453</v>
      </c>
    </row>
    <row r="12" spans="2:10" ht="15" customHeight="1" x14ac:dyDescent="0.25">
      <c r="B12" s="19"/>
      <c r="C12" s="66" t="s">
        <v>20</v>
      </c>
      <c r="D12" s="214">
        <f>'DE (Tentative)'!F35</f>
        <v>4</v>
      </c>
      <c r="E12" s="173"/>
      <c r="F12" s="174"/>
      <c r="G12" s="587"/>
      <c r="H12" s="588"/>
      <c r="I12" s="99"/>
    </row>
    <row r="13" spans="2:10" x14ac:dyDescent="0.25">
      <c r="B13" s="19"/>
      <c r="C13" s="37" t="s">
        <v>99</v>
      </c>
      <c r="D13" s="38">
        <v>28</v>
      </c>
      <c r="E13" s="38">
        <v>36</v>
      </c>
      <c r="F13" s="38">
        <v>45.83</v>
      </c>
      <c r="G13" s="38">
        <f>(D13+E13+F13)/2</f>
        <v>54.914999999999999</v>
      </c>
      <c r="H13" s="38">
        <f>(G13*(G13-D13)*(G13-E13)*(G13-F13))^0.5</f>
        <v>503.97422384215184</v>
      </c>
      <c r="I13" s="589">
        <f>H16/342.25</f>
        <v>2.9591746369595406</v>
      </c>
    </row>
    <row r="14" spans="2:10" x14ac:dyDescent="0.25">
      <c r="B14" s="19"/>
      <c r="C14" s="37" t="s">
        <v>100</v>
      </c>
      <c r="D14" s="38">
        <f>F13</f>
        <v>45.83</v>
      </c>
      <c r="E14" s="38">
        <v>35.92</v>
      </c>
      <c r="F14" s="38">
        <v>28.33</v>
      </c>
      <c r="G14" s="38">
        <f t="shared" ref="G14" si="0">(D14+E14+F14)/2</f>
        <v>55.04</v>
      </c>
      <c r="H14" s="38">
        <f t="shared" ref="H14" si="1">(G14*(G14-D14)*(G14-E14)*(G14-F14))^0.5</f>
        <v>508.80329565725106</v>
      </c>
      <c r="I14" s="590"/>
    </row>
    <row r="15" spans="2:10" x14ac:dyDescent="0.25">
      <c r="B15" s="19"/>
      <c r="C15" s="592"/>
      <c r="D15" s="593"/>
      <c r="E15" s="593"/>
      <c r="F15" s="594"/>
      <c r="G15" s="38" t="s">
        <v>90</v>
      </c>
      <c r="H15" s="38">
        <f>SUM(H13:H14)</f>
        <v>1012.7775194994028</v>
      </c>
      <c r="I15" s="591"/>
    </row>
    <row r="16" spans="2:10" x14ac:dyDescent="0.25">
      <c r="B16" s="19"/>
      <c r="C16" s="39"/>
      <c r="D16" s="40"/>
      <c r="E16" s="40"/>
      <c r="F16" s="40"/>
      <c r="G16" s="175" t="s">
        <v>91</v>
      </c>
      <c r="H16" s="176">
        <f>H15</f>
        <v>1012.7775194994028</v>
      </c>
      <c r="I16" s="177"/>
    </row>
    <row r="17" spans="2:9" x14ac:dyDescent="0.25">
      <c r="B17" s="19"/>
      <c r="C17" s="41"/>
      <c r="D17" s="42"/>
      <c r="E17" s="42"/>
      <c r="F17" s="42"/>
      <c r="G17" s="41" t="s">
        <v>164</v>
      </c>
      <c r="H17" s="38">
        <f>H16/10.7639</f>
        <v>94.090201460381735</v>
      </c>
      <c r="I17" s="178"/>
    </row>
    <row r="18" spans="2:9" x14ac:dyDescent="0.25">
      <c r="B18" s="19"/>
      <c r="C18" s="48"/>
      <c r="D18" s="48"/>
      <c r="E18" s="48"/>
      <c r="F18" s="48"/>
      <c r="G18" s="48"/>
      <c r="H18" s="215"/>
      <c r="I18" s="48"/>
    </row>
    <row r="19" spans="2:9" x14ac:dyDescent="0.25">
      <c r="B19" s="19"/>
      <c r="C19" s="48"/>
      <c r="D19" s="48"/>
      <c r="E19" s="48"/>
      <c r="F19" s="48"/>
      <c r="G19" s="48"/>
      <c r="H19" s="215"/>
      <c r="I19" s="48"/>
    </row>
    <row r="20" spans="2:9" x14ac:dyDescent="0.25">
      <c r="B20" s="35" t="s">
        <v>244</v>
      </c>
      <c r="C20" s="36" t="s">
        <v>337</v>
      </c>
      <c r="D20" s="26"/>
      <c r="E20" s="26"/>
      <c r="F20" s="18"/>
      <c r="G20" s="18"/>
      <c r="H20" s="18"/>
      <c r="I20" s="18"/>
    </row>
    <row r="21" spans="2:9" ht="45" x14ac:dyDescent="0.25">
      <c r="B21" s="19"/>
      <c r="C21" s="53" t="s">
        <v>103</v>
      </c>
      <c r="D21" s="54" t="s">
        <v>85</v>
      </c>
      <c r="E21" s="54" t="s">
        <v>86</v>
      </c>
      <c r="F21" s="54" t="s">
        <v>87</v>
      </c>
      <c r="G21" s="54" t="s">
        <v>88</v>
      </c>
      <c r="H21" s="53" t="s">
        <v>89</v>
      </c>
      <c r="I21" s="54" t="s">
        <v>453</v>
      </c>
    </row>
    <row r="22" spans="2:9" ht="15" customHeight="1" x14ac:dyDescent="0.25">
      <c r="B22" s="19"/>
      <c r="C22" s="66" t="s">
        <v>20</v>
      </c>
      <c r="D22" s="214">
        <f>D12</f>
        <v>4</v>
      </c>
      <c r="E22" s="173"/>
      <c r="F22" s="174"/>
      <c r="G22" s="587"/>
      <c r="H22" s="588"/>
      <c r="I22" s="99"/>
    </row>
    <row r="23" spans="2:9" x14ac:dyDescent="0.25">
      <c r="B23" s="19"/>
      <c r="C23" s="37" t="s">
        <v>99</v>
      </c>
      <c r="D23" s="38">
        <v>28</v>
      </c>
      <c r="E23" s="38">
        <v>31</v>
      </c>
      <c r="F23" s="38">
        <v>42</v>
      </c>
      <c r="G23" s="38">
        <f>(D23+E23+F23)/2</f>
        <v>50.5</v>
      </c>
      <c r="H23" s="38">
        <f>(G23*(G23-D23)*(G23-E23)*(G23-F23))^0.5</f>
        <v>433.97400555793661</v>
      </c>
      <c r="I23" s="589">
        <f>H26/342.25</f>
        <v>2.5477100134398318</v>
      </c>
    </row>
    <row r="24" spans="2:9" x14ac:dyDescent="0.25">
      <c r="B24" s="19"/>
      <c r="C24" s="37" t="s">
        <v>100</v>
      </c>
      <c r="D24" s="38">
        <f>F23</f>
        <v>42</v>
      </c>
      <c r="E24" s="38">
        <v>30.92</v>
      </c>
      <c r="F24" s="38">
        <v>28.33</v>
      </c>
      <c r="G24" s="38">
        <f t="shared" ref="G24" si="2">(D24+E24+F24)/2</f>
        <v>50.625</v>
      </c>
      <c r="H24" s="38">
        <f t="shared" ref="H24" si="3">(G24*(G24-D24)*(G24-E24)*(G24-F24))^0.5</f>
        <v>437.97974654184571</v>
      </c>
      <c r="I24" s="590"/>
    </row>
    <row r="25" spans="2:9" x14ac:dyDescent="0.25">
      <c r="B25" s="19"/>
      <c r="C25" s="592"/>
      <c r="D25" s="593"/>
      <c r="E25" s="593"/>
      <c r="F25" s="594"/>
      <c r="G25" s="38" t="s">
        <v>90</v>
      </c>
      <c r="H25" s="38">
        <f>SUM(H23:H24)</f>
        <v>871.95375209978238</v>
      </c>
      <c r="I25" s="591"/>
    </row>
    <row r="26" spans="2:9" x14ac:dyDescent="0.25">
      <c r="B26" s="19"/>
      <c r="C26" s="39"/>
      <c r="D26" s="40"/>
      <c r="E26" s="40"/>
      <c r="F26" s="40"/>
      <c r="G26" s="175" t="s">
        <v>91</v>
      </c>
      <c r="H26" s="176">
        <f>H25</f>
        <v>871.95375209978238</v>
      </c>
      <c r="I26" s="177"/>
    </row>
    <row r="27" spans="2:9" x14ac:dyDescent="0.25">
      <c r="B27" s="19"/>
      <c r="C27" s="41"/>
      <c r="D27" s="42"/>
      <c r="E27" s="42"/>
      <c r="F27" s="42"/>
      <c r="G27" s="41" t="s">
        <v>164</v>
      </c>
      <c r="H27" s="38">
        <f>H26/10.7639</f>
        <v>81.007232703739575</v>
      </c>
      <c r="I27" s="178"/>
    </row>
    <row r="28" spans="2:9" x14ac:dyDescent="0.25">
      <c r="B28" s="19"/>
      <c r="C28" s="48"/>
      <c r="D28" s="48"/>
      <c r="E28" s="48"/>
      <c r="F28" s="48"/>
      <c r="G28" s="48"/>
      <c r="H28" s="215"/>
      <c r="I28" s="48"/>
    </row>
    <row r="29" spans="2:9" x14ac:dyDescent="0.25">
      <c r="B29" s="19"/>
      <c r="C29" s="48"/>
      <c r="D29" s="48"/>
      <c r="E29" s="48"/>
      <c r="F29" s="48"/>
      <c r="G29" s="48"/>
      <c r="H29" s="215"/>
      <c r="I29" s="48"/>
    </row>
    <row r="30" spans="2:9" x14ac:dyDescent="0.25">
      <c r="B30" s="19"/>
      <c r="C30" s="48"/>
      <c r="D30" s="48"/>
      <c r="E30" s="48"/>
      <c r="F30" s="48"/>
      <c r="G30" s="48"/>
      <c r="H30" s="215"/>
      <c r="I30" s="48"/>
    </row>
    <row r="31" spans="2:9" x14ac:dyDescent="0.25">
      <c r="B31" s="19"/>
      <c r="C31" s="48"/>
      <c r="D31" s="48"/>
      <c r="E31" s="48"/>
      <c r="F31" s="48"/>
      <c r="G31" s="48"/>
      <c r="H31" s="215"/>
      <c r="I31" s="48"/>
    </row>
    <row r="32" spans="2:9" x14ac:dyDescent="0.25">
      <c r="B32" s="19"/>
      <c r="C32" s="48"/>
      <c r="D32" s="48"/>
      <c r="E32" s="48"/>
      <c r="F32" s="48"/>
      <c r="G32" s="48"/>
      <c r="H32" s="215"/>
      <c r="I32" s="48"/>
    </row>
    <row r="33" spans="2:9" x14ac:dyDescent="0.25">
      <c r="B33" s="19"/>
      <c r="C33" s="48"/>
      <c r="D33" s="48"/>
      <c r="E33" s="48"/>
      <c r="F33" s="48"/>
      <c r="G33" s="48"/>
      <c r="H33" s="215"/>
      <c r="I33" s="48"/>
    </row>
    <row r="34" spans="2:9" x14ac:dyDescent="0.25">
      <c r="B34" s="19"/>
      <c r="C34" s="48"/>
      <c r="D34" s="48"/>
      <c r="E34" s="48"/>
      <c r="F34" s="48"/>
      <c r="G34" s="48"/>
      <c r="H34" s="215"/>
      <c r="I34" s="48"/>
    </row>
    <row r="35" spans="2:9" x14ac:dyDescent="0.25">
      <c r="B35" s="19"/>
      <c r="C35" s="48"/>
      <c r="D35" s="48"/>
      <c r="E35" s="48"/>
      <c r="F35" s="48"/>
      <c r="G35" s="48"/>
      <c r="H35" s="215"/>
      <c r="I35" s="48"/>
    </row>
    <row r="36" spans="2:9" x14ac:dyDescent="0.25">
      <c r="B36" s="19"/>
      <c r="C36" s="48"/>
      <c r="D36" s="48"/>
      <c r="E36" s="48"/>
      <c r="F36" s="48"/>
      <c r="G36" s="48"/>
      <c r="H36" s="215"/>
      <c r="I36" s="48"/>
    </row>
    <row r="37" spans="2:9" x14ac:dyDescent="0.25">
      <c r="B37" s="19"/>
      <c r="C37" s="48"/>
      <c r="D37" s="48"/>
      <c r="E37" s="48"/>
      <c r="F37" s="48"/>
      <c r="G37" s="48"/>
      <c r="H37" s="215"/>
      <c r="I37" s="48"/>
    </row>
    <row r="38" spans="2:9" x14ac:dyDescent="0.25">
      <c r="B38" s="19"/>
      <c r="C38" s="48"/>
      <c r="D38" s="48"/>
      <c r="E38" s="48"/>
      <c r="F38" s="48"/>
      <c r="G38" s="48"/>
      <c r="H38" s="215"/>
      <c r="I38" s="48"/>
    </row>
    <row r="39" spans="2:9" x14ac:dyDescent="0.25">
      <c r="B39" s="19"/>
      <c r="C39" s="48"/>
      <c r="D39" s="48"/>
      <c r="E39" s="48"/>
      <c r="F39" s="48"/>
      <c r="G39" s="48"/>
      <c r="H39" s="215"/>
      <c r="I39" s="48"/>
    </row>
    <row r="40" spans="2:9" x14ac:dyDescent="0.25">
      <c r="B40" s="19"/>
      <c r="C40" s="48"/>
      <c r="D40" s="48"/>
      <c r="E40" s="48"/>
      <c r="F40" s="48"/>
      <c r="G40" s="48"/>
      <c r="H40" s="215"/>
      <c r="I40" s="48"/>
    </row>
    <row r="41" spans="2:9" x14ac:dyDescent="0.25">
      <c r="B41" s="19"/>
      <c r="C41" s="48"/>
      <c r="D41" s="48"/>
      <c r="E41" s="48"/>
      <c r="F41" s="48"/>
      <c r="G41" s="48"/>
      <c r="H41" s="215"/>
      <c r="I41" s="48"/>
    </row>
    <row r="42" spans="2:9" x14ac:dyDescent="0.25">
      <c r="B42" s="19"/>
      <c r="C42" s="48"/>
      <c r="D42" s="48"/>
      <c r="E42" s="48"/>
      <c r="F42" s="48"/>
      <c r="G42" s="48"/>
      <c r="H42" s="215"/>
      <c r="I42" s="48"/>
    </row>
    <row r="43" spans="2:9" x14ac:dyDescent="0.25">
      <c r="B43" s="19"/>
      <c r="C43" s="48"/>
      <c r="D43" s="48"/>
      <c r="E43" s="48"/>
      <c r="F43" s="48"/>
      <c r="G43" s="48"/>
      <c r="H43" s="215"/>
      <c r="I43" s="48"/>
    </row>
    <row r="44" spans="2:9" x14ac:dyDescent="0.25">
      <c r="B44" s="19"/>
      <c r="C44" s="48"/>
      <c r="D44" s="48"/>
      <c r="E44" s="48"/>
      <c r="F44" s="48"/>
      <c r="G44" s="48"/>
      <c r="H44" s="215"/>
      <c r="I44" s="48"/>
    </row>
    <row r="45" spans="2:9" x14ac:dyDescent="0.25">
      <c r="B45" s="19"/>
      <c r="C45" s="48"/>
      <c r="D45" s="48"/>
      <c r="E45" s="48"/>
      <c r="F45" s="48"/>
      <c r="G45" s="48"/>
      <c r="H45" s="215"/>
      <c r="I45" s="48"/>
    </row>
    <row r="46" spans="2:9" x14ac:dyDescent="0.25">
      <c r="B46" s="19"/>
      <c r="C46" s="48"/>
      <c r="D46" s="48"/>
      <c r="E46" s="48"/>
      <c r="F46" s="48"/>
      <c r="G46" s="48"/>
      <c r="H46" s="215"/>
      <c r="I46" s="48"/>
    </row>
    <row r="47" spans="2:9" x14ac:dyDescent="0.25">
      <c r="B47" s="43" t="s">
        <v>339</v>
      </c>
      <c r="C47" s="36" t="s">
        <v>92</v>
      </c>
      <c r="D47" s="36"/>
      <c r="E47" s="18"/>
      <c r="F47" s="18"/>
      <c r="G47" s="18"/>
      <c r="H47" s="18"/>
      <c r="I47" s="18"/>
    </row>
    <row r="48" spans="2:9" ht="15" customHeight="1" x14ac:dyDescent="0.25">
      <c r="B48" s="19"/>
      <c r="C48" s="595" t="s">
        <v>93</v>
      </c>
      <c r="D48" s="596"/>
      <c r="E48" s="595" t="s">
        <v>94</v>
      </c>
      <c r="F48" s="597"/>
      <c r="G48" s="597"/>
      <c r="H48" s="597"/>
      <c r="I48" s="598"/>
    </row>
    <row r="49" spans="2:11" ht="15" customHeight="1" x14ac:dyDescent="0.25">
      <c r="B49" s="19"/>
      <c r="C49" s="599" t="s">
        <v>6</v>
      </c>
      <c r="D49" s="599" t="s">
        <v>98</v>
      </c>
      <c r="E49" s="595" t="s">
        <v>454</v>
      </c>
      <c r="F49" s="597"/>
      <c r="G49" s="597"/>
      <c r="H49" s="596"/>
      <c r="I49" s="55" t="s">
        <v>455</v>
      </c>
    </row>
    <row r="50" spans="2:11" x14ac:dyDescent="0.25">
      <c r="B50" s="19"/>
      <c r="C50" s="600"/>
      <c r="D50" s="600"/>
      <c r="E50" s="56" t="s">
        <v>25</v>
      </c>
      <c r="F50" s="57" t="s">
        <v>26</v>
      </c>
      <c r="G50" s="55" t="s">
        <v>27</v>
      </c>
      <c r="H50" s="58" t="s">
        <v>95</v>
      </c>
      <c r="I50" s="59"/>
    </row>
    <row r="51" spans="2:11" ht="63.75" customHeight="1" x14ac:dyDescent="0.25">
      <c r="B51" s="19"/>
      <c r="C51" s="577" t="str">
        <f>'DE (Tentative)'!C37:F37</f>
        <v>Gokarneshwor Municipality-6 (Sabik Jorpati VDC-4), Kathmandu District</v>
      </c>
      <c r="D51" s="579">
        <f>D12</f>
        <v>4</v>
      </c>
      <c r="E51" s="581">
        <f>INT(ROUND(I54*256/508.72,6)/256)</f>
        <v>0</v>
      </c>
      <c r="F51" s="581">
        <f>INT(MOD(ROUND(I54*256/508.72,6),256)/16)</f>
        <v>3</v>
      </c>
      <c r="G51" s="581">
        <f>INT(MOD(ROUND(I54*256/508.72,6),16)/4)</f>
        <v>0</v>
      </c>
      <c r="H51" s="583">
        <f>ROUND(MOD(ROUND(I54*256/508.72,6),4),2)</f>
        <v>0</v>
      </c>
      <c r="I51" s="570">
        <f>I54*10.7639104167</f>
        <v>1026.769414649013</v>
      </c>
      <c r="K51" s="158"/>
    </row>
    <row r="52" spans="2:11" ht="62.45" customHeight="1" x14ac:dyDescent="0.25">
      <c r="B52" s="19"/>
      <c r="C52" s="578"/>
      <c r="D52" s="580"/>
      <c r="E52" s="582"/>
      <c r="F52" s="582"/>
      <c r="G52" s="582"/>
      <c r="H52" s="584"/>
      <c r="I52" s="571"/>
      <c r="K52" s="158">
        <f>(E51*508.72 + F51*31.795 + G51*7.94875 + H51*1.9871875)</f>
        <v>95.385000000000005</v>
      </c>
    </row>
    <row r="53" spans="2:11" x14ac:dyDescent="0.25">
      <c r="B53" s="19"/>
      <c r="C53" s="27"/>
      <c r="D53" s="179"/>
      <c r="E53" s="28"/>
      <c r="F53" s="168"/>
      <c r="G53" s="572" t="s">
        <v>456</v>
      </c>
      <c r="H53" s="572"/>
      <c r="I53" s="52">
        <f>I51</f>
        <v>1026.769414649013</v>
      </c>
      <c r="K53" s="158"/>
    </row>
    <row r="54" spans="2:11" x14ac:dyDescent="0.25">
      <c r="B54" s="18"/>
      <c r="C54" s="29"/>
      <c r="D54" s="30"/>
      <c r="E54" s="30"/>
      <c r="F54" s="30"/>
      <c r="G54" s="573" t="s">
        <v>457</v>
      </c>
      <c r="H54" s="573"/>
      <c r="I54" s="295">
        <v>95.39</v>
      </c>
    </row>
    <row r="55" spans="2:11" x14ac:dyDescent="0.25">
      <c r="B55" s="18"/>
      <c r="C55" s="18"/>
      <c r="D55" s="18"/>
      <c r="E55" s="18"/>
      <c r="F55" s="18"/>
      <c r="G55" s="573" t="s">
        <v>338</v>
      </c>
      <c r="H55" s="573"/>
      <c r="I55" s="296">
        <f>I53/342.25</f>
        <v>3.0000567265128213</v>
      </c>
    </row>
    <row r="56" spans="2:11" x14ac:dyDescent="0.25">
      <c r="B56" s="18"/>
      <c r="C56" s="18"/>
      <c r="D56" s="18"/>
      <c r="E56" s="18"/>
      <c r="F56" s="18"/>
      <c r="G56" s="18"/>
      <c r="H56" s="18"/>
      <c r="I56" s="18"/>
    </row>
    <row r="57" spans="2:11" x14ac:dyDescent="0.25">
      <c r="B57" s="18"/>
      <c r="C57" s="574" t="s">
        <v>96</v>
      </c>
      <c r="D57" s="575"/>
      <c r="E57" s="191" t="s">
        <v>7</v>
      </c>
      <c r="F57" s="216">
        <f>I53</f>
        <v>1026.769414649013</v>
      </c>
      <c r="G57" s="31" t="s">
        <v>11</v>
      </c>
      <c r="H57" s="31"/>
      <c r="I57" s="32"/>
    </row>
    <row r="58" spans="2:11" x14ac:dyDescent="0.25">
      <c r="B58" s="18"/>
      <c r="C58" s="576" t="s">
        <v>183</v>
      </c>
      <c r="D58" s="448"/>
      <c r="E58" s="19" t="s">
        <v>7</v>
      </c>
      <c r="F58" s="50">
        <f>H16</f>
        <v>1012.7775194994028</v>
      </c>
      <c r="G58" s="18" t="s">
        <v>11</v>
      </c>
      <c r="H58" s="18"/>
      <c r="I58" s="51"/>
    </row>
    <row r="59" spans="2:11" x14ac:dyDescent="0.25">
      <c r="B59" s="18"/>
      <c r="C59" s="576" t="s">
        <v>340</v>
      </c>
      <c r="D59" s="448"/>
      <c r="E59" s="19" t="s">
        <v>7</v>
      </c>
      <c r="F59" s="50">
        <f>H26</f>
        <v>871.95375209978238</v>
      </c>
      <c r="G59" s="18" t="s">
        <v>11</v>
      </c>
      <c r="H59" s="18"/>
      <c r="I59" s="51"/>
    </row>
    <row r="60" spans="2:11" x14ac:dyDescent="0.25">
      <c r="B60" s="18"/>
      <c r="C60" s="568" t="s">
        <v>97</v>
      </c>
      <c r="D60" s="569"/>
      <c r="E60" s="180" t="s">
        <v>7</v>
      </c>
      <c r="F60" s="87">
        <f>F59</f>
        <v>871.95375209978238</v>
      </c>
      <c r="G60" s="181" t="s">
        <v>11</v>
      </c>
      <c r="H60" s="33"/>
      <c r="I60" s="34"/>
    </row>
    <row r="61" spans="2:11" x14ac:dyDescent="0.25">
      <c r="B61" s="18"/>
      <c r="C61" s="18"/>
      <c r="D61" s="18"/>
      <c r="E61" s="18"/>
      <c r="F61" s="18"/>
      <c r="G61" s="18"/>
      <c r="H61" s="18"/>
      <c r="I61" s="18"/>
      <c r="J61" s="18"/>
    </row>
    <row r="62" spans="2:11" x14ac:dyDescent="0.25">
      <c r="B62" s="18"/>
      <c r="C62" s="18"/>
      <c r="D62" s="18"/>
      <c r="E62" s="18"/>
      <c r="F62" s="18"/>
      <c r="G62" s="18"/>
      <c r="H62" s="18"/>
      <c r="I62" s="18"/>
      <c r="J62" s="18"/>
    </row>
  </sheetData>
  <mergeCells count="27">
    <mergeCell ref="G22:H22"/>
    <mergeCell ref="I23:I25"/>
    <mergeCell ref="C25:F25"/>
    <mergeCell ref="G55:H55"/>
    <mergeCell ref="C59:D59"/>
    <mergeCell ref="C48:D48"/>
    <mergeCell ref="E48:I48"/>
    <mergeCell ref="C49:C50"/>
    <mergeCell ref="D49:D50"/>
    <mergeCell ref="E49:H49"/>
    <mergeCell ref="C2:I4"/>
    <mergeCell ref="C5:I6"/>
    <mergeCell ref="G12:H12"/>
    <mergeCell ref="I13:I15"/>
    <mergeCell ref="C15:F15"/>
    <mergeCell ref="C60:D60"/>
    <mergeCell ref="I51:I52"/>
    <mergeCell ref="G53:H53"/>
    <mergeCell ref="G54:H54"/>
    <mergeCell ref="C57:D57"/>
    <mergeCell ref="C58:D58"/>
    <mergeCell ref="C51:C52"/>
    <mergeCell ref="D51:D52"/>
    <mergeCell ref="E51:E52"/>
    <mergeCell ref="F51:F52"/>
    <mergeCell ref="G51:G52"/>
    <mergeCell ref="H51:H52"/>
  </mergeCells>
  <printOptions horizontalCentered="1" verticalCentered="1"/>
  <pageMargins left="0.70866141732283505" right="0.45866141700000002" top="0.74803149606299202" bottom="0.74803149606299202" header="0.31496062992126" footer="0.31496062992126"/>
  <pageSetup orientation="portrait" horizontalDpi="4294967293" r:id="rId1"/>
  <headerFooter>
    <oddFooter>&amp;R&amp;G</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vt:i4>
      </vt:variant>
    </vt:vector>
  </HeadingPairs>
  <TitlesOfParts>
    <vt:vector size="34" baseType="lpstr">
      <vt:lpstr>DE (Tentative)</vt:lpstr>
      <vt:lpstr>DE (Final)</vt:lpstr>
      <vt:lpstr>Cover</vt:lpstr>
      <vt:lpstr>Letterhead</vt:lpstr>
      <vt:lpstr>TOC</vt:lpstr>
      <vt:lpstr>Synopsis</vt:lpstr>
      <vt:lpstr>Location</vt:lpstr>
      <vt:lpstr>Importance</vt:lpstr>
      <vt:lpstr>Description </vt:lpstr>
      <vt:lpstr>Legal Aspects</vt:lpstr>
      <vt:lpstr>Sum d</vt:lpstr>
      <vt:lpstr>summary</vt:lpstr>
      <vt:lpstr>val</vt:lpstr>
      <vt:lpstr>Limiting Condition</vt:lpstr>
      <vt:lpstr>Sheet4</vt:lpstr>
      <vt:lpstr>Sheet3</vt:lpstr>
      <vt:lpstr>Area</vt:lpstr>
      <vt:lpstr>Synopsis!_Toc272312950</vt:lpstr>
      <vt:lpstr>'Limiting Condition'!_Toc332296746</vt:lpstr>
      <vt:lpstr>Importance!_Toc335642854</vt:lpstr>
      <vt:lpstr>'Limiting Condition'!_Toc335642860</vt:lpstr>
      <vt:lpstr>Sheet4!_Toc335642867</vt:lpstr>
      <vt:lpstr>Sheet4!_Toc335642868</vt:lpstr>
      <vt:lpstr>Sheet4!_Toc335642869</vt:lpstr>
      <vt:lpstr>Synopsis!_Toc341107989</vt:lpstr>
      <vt:lpstr>Synopsis!_Toc341107990</vt:lpstr>
      <vt:lpstr>Location!_Toc341107993</vt:lpstr>
      <vt:lpstr>Location!_Toc341107994</vt:lpstr>
      <vt:lpstr>Location!_Toc341107995</vt:lpstr>
      <vt:lpstr>Cover!Print_Area</vt:lpstr>
      <vt:lpstr>Letterhead!Print_Area</vt:lpstr>
      <vt:lpstr>'Sum d'!Print_Area</vt:lpstr>
      <vt:lpstr>summary!Print_Area</vt:lpstr>
      <vt:lpstr>val!Print_Area</vt:lpstr>
    </vt:vector>
  </TitlesOfParts>
  <Company>Lenovo</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Ranjit Lalchan</dc:creator>
  <cp:lastModifiedBy>Admin</cp:lastModifiedBy>
  <cp:lastPrinted>2026-05-05T04:31:54Z</cp:lastPrinted>
  <dcterms:created xsi:type="dcterms:W3CDTF">2011-04-18T04:55:26Z</dcterms:created>
  <dcterms:modified xsi:type="dcterms:W3CDTF">2026-05-05T05:35:45Z</dcterms:modified>
</cp:coreProperties>
</file>