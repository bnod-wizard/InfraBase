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drawings/drawing3.xml" ContentType="application/vnd.openxmlformats-officedocument.drawing+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dmin\Desktop\Lila Khatri\"/>
    </mc:Choice>
  </mc:AlternateContent>
  <bookViews>
    <workbookView xWindow="-105" yWindow="-105" windowWidth="23250" windowHeight="12570" tabRatio="767" activeTab="9"/>
  </bookViews>
  <sheets>
    <sheet name="In Put" sheetId="15" r:id="rId1"/>
    <sheet name="TOC" sheetId="13" r:id="rId2"/>
    <sheet name="Synopsis" sheetId="10" r:id="rId3"/>
    <sheet name="Location" sheetId="9" r:id="rId4"/>
    <sheet name="Importance" sheetId="12" r:id="rId5"/>
    <sheet name="Description " sheetId="8" r:id="rId6"/>
    <sheet name="Legal Aspects" sheetId="7" r:id="rId7"/>
    <sheet name="Summary1" sheetId="24" r:id="rId8"/>
    <sheet name="summary" sheetId="17" r:id="rId9"/>
    <sheet name="val" sheetId="1" r:id="rId10"/>
    <sheet name="Limiting Condition" sheetId="6" r:id="rId11"/>
    <sheet name="Area" sheetId="5" r:id="rId12"/>
    <sheet name="Sheet4" sheetId="4" state="hidden" r:id="rId13"/>
    <sheet name="Sheet3" sheetId="3" state="hidden" r:id="rId14"/>
    <sheet name="Sheet2" sheetId="21" r:id="rId15"/>
    <sheet name="Sheet1" sheetId="22" r:id="rId16"/>
    <sheet name="Sheet5" sheetId="23" r:id="rId17"/>
  </sheets>
  <externalReferences>
    <externalReference r:id="rId18"/>
  </externalReferences>
  <definedNames>
    <definedName name="_Toc272312950" localSheetId="2">Synopsis!$B$48</definedName>
    <definedName name="_Toc281130000" localSheetId="9">val!#REF!</definedName>
    <definedName name="_Toc332296746" localSheetId="10">'Limiting Condition'!$B$1</definedName>
    <definedName name="_Toc332296753" localSheetId="6">'Legal Aspects'!#REF!</definedName>
    <definedName name="_Toc335642854" localSheetId="4">Importance!$B$1</definedName>
    <definedName name="_Toc335642855" localSheetId="4">Importance!#REF!</definedName>
    <definedName name="_Toc335642860" localSheetId="10">'Limiting Condition'!$B$6</definedName>
    <definedName name="_Toc335642867" localSheetId="12">Sheet4!$A$1</definedName>
    <definedName name="_Toc335642868" localSheetId="12">Sheet4!$B$9</definedName>
    <definedName name="_Toc335642869" localSheetId="12">Sheet4!$B$11</definedName>
    <definedName name="_Toc341107988" localSheetId="2">Synopsis!$B$1</definedName>
    <definedName name="_Toc341107989" localSheetId="2">Synopsis!$B$2</definedName>
    <definedName name="_Toc341107990" localSheetId="2">Synopsis!$B$3</definedName>
    <definedName name="_Toc341107993" localSheetId="3">Location!$B$1</definedName>
    <definedName name="_Toc341107994" localSheetId="3">Location!$B$14</definedName>
    <definedName name="_Toc341107995" localSheetId="3">Location!$B$21</definedName>
    <definedName name="_Toc341107996" localSheetId="5">'Description '!#REF!</definedName>
    <definedName name="_xlnm.Print_Area" localSheetId="8">summary!$A$1:$O$34</definedName>
    <definedName name="_xlnm.Print_Area" localSheetId="9">val!$A$1:$H$47</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2" i="1" l="1"/>
  <c r="E28" i="10" l="1"/>
  <c r="E27" i="10"/>
  <c r="E26" i="10"/>
  <c r="C28" i="10"/>
  <c r="C27" i="10"/>
  <c r="C26" i="10"/>
  <c r="E25" i="10"/>
  <c r="E24" i="10"/>
  <c r="E23" i="10"/>
  <c r="E22" i="10"/>
  <c r="E21" i="10"/>
  <c r="E20" i="10"/>
  <c r="E18" i="10"/>
  <c r="D6" i="1" l="1"/>
  <c r="I6" i="17"/>
  <c r="P15" i="1"/>
  <c r="G22" i="1"/>
  <c r="G23" i="1"/>
  <c r="G24" i="1"/>
  <c r="J23" i="17" l="1"/>
  <c r="H34" i="24" s="1"/>
  <c r="H23" i="17"/>
  <c r="F34" i="24" s="1"/>
  <c r="D23" i="17"/>
  <c r="G15" i="5" l="1"/>
  <c r="H15" i="5" s="1"/>
  <c r="A6" i="1" l="1"/>
  <c r="A6" i="17" s="1"/>
  <c r="A2" i="1"/>
  <c r="A2" i="17" s="1"/>
  <c r="I10" i="17"/>
  <c r="E25" i="1"/>
  <c r="B29" i="24" s="1"/>
  <c r="J11" i="21" l="1"/>
  <c r="J10" i="21"/>
  <c r="K9" i="21"/>
  <c r="J9" i="21"/>
  <c r="I9" i="21"/>
  <c r="J5" i="21"/>
  <c r="B24" i="13"/>
  <c r="H2" i="24" l="1"/>
  <c r="A16" i="17" l="1"/>
  <c r="G21" i="1"/>
  <c r="G26" i="1" s="1"/>
  <c r="E57" i="8"/>
  <c r="G34" i="1"/>
  <c r="E35" i="8"/>
  <c r="G27" i="1" l="1"/>
  <c r="G28" i="1" l="1"/>
  <c r="G29" i="1" s="1"/>
  <c r="G30" i="1" l="1"/>
  <c r="G35" i="1" s="1"/>
  <c r="G36" i="1" s="1"/>
  <c r="H21" i="17" s="1"/>
  <c r="D29" i="24" l="1"/>
  <c r="G37" i="1"/>
  <c r="F42" i="1"/>
  <c r="G42" i="1" s="1"/>
  <c r="D21" i="17"/>
  <c r="C14" i="6"/>
  <c r="C9" i="12"/>
  <c r="I11" i="17" l="1"/>
  <c r="B27" i="24" s="1"/>
  <c r="K20" i="5" l="1"/>
  <c r="C60" i="10" l="1"/>
  <c r="C59" i="10"/>
  <c r="F9" i="17" l="1"/>
  <c r="D9" i="17"/>
  <c r="F29" i="24" l="1"/>
  <c r="I19" i="9"/>
  <c r="H19" i="9"/>
  <c r="G19" i="9"/>
  <c r="H29" i="24" l="1"/>
  <c r="I10" i="24"/>
  <c r="H10" i="24"/>
  <c r="G10" i="24"/>
  <c r="F10" i="24"/>
  <c r="G12" i="1"/>
  <c r="G35" i="6" l="1"/>
  <c r="B35" i="6"/>
  <c r="B23" i="13" l="1"/>
  <c r="C10" i="12" l="1"/>
  <c r="E60" i="10"/>
  <c r="A35" i="24" l="1"/>
  <c r="E27" i="24"/>
  <c r="D27" i="24"/>
  <c r="B7" i="24"/>
  <c r="B6" i="24"/>
  <c r="B5" i="24"/>
  <c r="E14" i="10" l="1"/>
  <c r="C14" i="10"/>
  <c r="C15" i="6" l="1"/>
  <c r="G8" i="22" l="1"/>
  <c r="G9" i="22"/>
  <c r="G7" i="22"/>
  <c r="C25" i="5" l="1"/>
  <c r="E13" i="10"/>
  <c r="C13" i="10"/>
  <c r="D5" i="1" l="1"/>
  <c r="F6" i="9" l="1"/>
  <c r="I17" i="9"/>
  <c r="H17" i="9"/>
  <c r="G17" i="9"/>
  <c r="I24" i="9"/>
  <c r="H24" i="9"/>
  <c r="G24" i="9"/>
  <c r="F24" i="9"/>
  <c r="H2" i="1" l="1"/>
  <c r="E61" i="10" l="1"/>
  <c r="E13" i="7" l="1"/>
  <c r="M18" i="23" l="1"/>
  <c r="L11" i="23"/>
  <c r="I9" i="23"/>
  <c r="I10" i="23" s="1"/>
  <c r="L9" i="23" s="1"/>
  <c r="L10" i="23" s="1"/>
  <c r="G9" i="23"/>
  <c r="C8" i="22" l="1"/>
  <c r="E8" i="22" s="1"/>
  <c r="C9" i="22"/>
  <c r="F9" i="22" s="1"/>
  <c r="C7" i="22"/>
  <c r="E9" i="22" l="1"/>
  <c r="H9" i="22"/>
  <c r="C10" i="22"/>
  <c r="F8" i="22"/>
  <c r="H8" i="22" s="1"/>
  <c r="I8" i="22" s="1"/>
  <c r="E7" i="22"/>
  <c r="E11" i="22" s="1"/>
  <c r="F7" i="22"/>
  <c r="I9" i="22" l="1"/>
  <c r="H7" i="22"/>
  <c r="H11" i="22" s="1"/>
  <c r="F10" i="22"/>
  <c r="H12" i="22" l="1"/>
  <c r="I7" i="22"/>
  <c r="I11" i="22" s="1"/>
  <c r="E12" i="22"/>
  <c r="E13" i="22" l="1"/>
  <c r="I15" i="22" l="1"/>
  <c r="F19" i="9" l="1"/>
  <c r="E59" i="10"/>
  <c r="Q22" i="5"/>
  <c r="C58" i="10" l="1"/>
  <c r="E5" i="21" l="1"/>
  <c r="D5" i="21"/>
  <c r="O24" i="5" l="1"/>
  <c r="B19" i="13" l="1"/>
  <c r="B18" i="13"/>
  <c r="B17" i="13"/>
  <c r="B16" i="13"/>
  <c r="B15" i="13"/>
  <c r="B14" i="13"/>
  <c r="C11" i="13"/>
  <c r="C10" i="13"/>
  <c r="C9" i="13"/>
  <c r="C8" i="13"/>
  <c r="C7" i="13"/>
  <c r="C6" i="13"/>
  <c r="C5" i="13"/>
  <c r="C4" i="13"/>
  <c r="B3" i="13"/>
  <c r="B1" i="13"/>
  <c r="C12" i="6" l="1"/>
  <c r="C11" i="6"/>
  <c r="C8" i="12" l="1"/>
  <c r="C7" i="12"/>
  <c r="C5" i="12"/>
  <c r="I16" i="9"/>
  <c r="E15" i="10" l="1"/>
  <c r="E7" i="10"/>
  <c r="C15" i="10"/>
  <c r="C6" i="10"/>
  <c r="C7" i="10"/>
  <c r="C8" i="10"/>
  <c r="C9" i="10"/>
  <c r="C10" i="10"/>
  <c r="C11" i="10"/>
  <c r="C12" i="10"/>
  <c r="C5" i="10"/>
  <c r="E8" i="10"/>
  <c r="E9" i="10"/>
  <c r="E10" i="10"/>
  <c r="E11" i="10"/>
  <c r="E12" i="10"/>
  <c r="E5" i="10" l="1"/>
  <c r="C8" i="6" l="1"/>
  <c r="C5" i="21" l="1"/>
  <c r="E44" i="10"/>
  <c r="E50" i="10"/>
  <c r="E52" i="10"/>
  <c r="E53" i="10"/>
  <c r="E54" i="10"/>
  <c r="E55" i="10"/>
  <c r="E56" i="10"/>
  <c r="E57" i="10"/>
  <c r="E58" i="10"/>
  <c r="M19" i="17" l="1"/>
  <c r="F17" i="9" l="1"/>
  <c r="H16" i="9"/>
  <c r="G16" i="9"/>
  <c r="F16" i="9"/>
  <c r="N21" i="5"/>
  <c r="K16" i="5" l="1"/>
  <c r="K17" i="5"/>
  <c r="K18" i="5"/>
  <c r="K21" i="5"/>
  <c r="K22" i="5"/>
  <c r="K23" i="5"/>
  <c r="M13" i="5" l="1"/>
  <c r="L16" i="5"/>
  <c r="K11" i="5" l="1"/>
  <c r="L34" i="5" l="1"/>
  <c r="L35" i="5" s="1"/>
  <c r="D4" i="1"/>
  <c r="I5" i="17"/>
  <c r="I4" i="17"/>
  <c r="E18" i="8"/>
  <c r="D13" i="5"/>
  <c r="F3" i="9"/>
  <c r="I9" i="17"/>
  <c r="I3" i="17"/>
  <c r="C24" i="9" l="1"/>
  <c r="E10" i="24"/>
  <c r="K14" i="5"/>
  <c r="K13" i="5"/>
  <c r="D25" i="5" l="1"/>
  <c r="D3" i="1"/>
  <c r="J11" i="5" l="1"/>
  <c r="G14" i="5" l="1"/>
  <c r="H14" i="5" s="1"/>
  <c r="H16" i="5" s="1"/>
  <c r="H17" i="5" l="1"/>
  <c r="I14" i="5" s="1"/>
  <c r="I25" i="5"/>
  <c r="I27" i="5" s="1"/>
  <c r="F32" i="5" s="1"/>
  <c r="H18" i="5" l="1"/>
  <c r="F31" i="5"/>
  <c r="F33" i="5" s="1"/>
  <c r="I28" i="5"/>
  <c r="G5" i="21" s="1"/>
  <c r="F7" i="21" s="1"/>
  <c r="F5" i="21" l="1"/>
  <c r="G9" i="1"/>
  <c r="F14" i="1" s="1"/>
  <c r="K26" i="5"/>
  <c r="C9" i="1"/>
  <c r="O11" i="1"/>
  <c r="K11" i="1"/>
  <c r="J8" i="1"/>
  <c r="J5" i="1"/>
  <c r="E10" i="1" l="1"/>
  <c r="G10" i="1" s="1"/>
  <c r="D20" i="17" l="1"/>
  <c r="D22" i="17" s="1"/>
  <c r="F41" i="1"/>
  <c r="F43" i="1" s="1"/>
  <c r="G11" i="1"/>
  <c r="F15" i="1"/>
  <c r="F16" i="1" s="1"/>
  <c r="H20" i="17" l="1"/>
  <c r="H22" i="17" s="1"/>
  <c r="G41" i="1"/>
  <c r="H41" i="1" s="1"/>
  <c r="F27" i="24" l="1"/>
  <c r="F33" i="24" s="1"/>
  <c r="G43" i="1"/>
  <c r="H43" i="1" l="1"/>
  <c r="J20" i="17"/>
  <c r="H27" i="24"/>
  <c r="H33" i="24" s="1"/>
  <c r="J21" i="17"/>
  <c r="I12" i="22"/>
  <c r="H13" i="22"/>
  <c r="I13" i="22" s="1"/>
  <c r="I18" i="22" s="1"/>
  <c r="J22" i="17" l="1"/>
</calcChain>
</file>

<file path=xl/sharedStrings.xml><?xml version="1.0" encoding="utf-8"?>
<sst xmlns="http://schemas.openxmlformats.org/spreadsheetml/2006/main" count="801" uniqueCount="490">
  <si>
    <t>S.N</t>
  </si>
  <si>
    <t>Particulars</t>
  </si>
  <si>
    <t>Plot No:</t>
  </si>
  <si>
    <t>Rate per Aana</t>
  </si>
  <si>
    <t>Amount</t>
  </si>
  <si>
    <t>Remarks</t>
  </si>
  <si>
    <t>Total Government value of land</t>
  </si>
  <si>
    <t>Total Market Value of Land</t>
  </si>
  <si>
    <t>As from Local People and the judgement of the valuator</t>
  </si>
  <si>
    <t xml:space="preserve">Value of Land  </t>
  </si>
  <si>
    <t>Location</t>
  </si>
  <si>
    <t>:</t>
  </si>
  <si>
    <t>Type of Property to be motgaged</t>
  </si>
  <si>
    <t>Plot No</t>
  </si>
  <si>
    <t>Date of Survey:</t>
  </si>
  <si>
    <t>Unit</t>
  </si>
  <si>
    <t>Quantity</t>
  </si>
  <si>
    <t>Rate</t>
  </si>
  <si>
    <t>Sqft</t>
  </si>
  <si>
    <t>Area of Land (Anna)</t>
  </si>
  <si>
    <t>Synopsis of Property Valuation Report</t>
  </si>
  <si>
    <t>1. General Information</t>
  </si>
  <si>
    <t>a. Name, Address and General Information of Client</t>
  </si>
  <si>
    <t>Name</t>
  </si>
  <si>
    <t>Address</t>
  </si>
  <si>
    <t>Citizenship No</t>
  </si>
  <si>
    <t>Issued Date</t>
  </si>
  <si>
    <t>Issued Office</t>
  </si>
  <si>
    <t>Ward No</t>
  </si>
  <si>
    <t>VDC/ Municipality</t>
  </si>
  <si>
    <t>District</t>
  </si>
  <si>
    <t>c. Name , Address and General Information of Owner of Property</t>
  </si>
  <si>
    <t>Contact No.</t>
  </si>
  <si>
    <t xml:space="preserve">d. Location of Property </t>
  </si>
  <si>
    <t>Plot No.</t>
  </si>
  <si>
    <t>Type of Location</t>
  </si>
  <si>
    <t>Shape</t>
  </si>
  <si>
    <t>Nearest Market</t>
  </si>
  <si>
    <t>High Tension Line above the site</t>
  </si>
  <si>
    <t xml:space="preserve">e. Total Area of Land </t>
  </si>
  <si>
    <t>Ropani</t>
  </si>
  <si>
    <t>Anna</t>
  </si>
  <si>
    <t>Dama</t>
  </si>
  <si>
    <t>Paisa</t>
  </si>
  <si>
    <t>As per Lalpurja</t>
  </si>
  <si>
    <t>As per Measurement</t>
  </si>
  <si>
    <t>(Refer to Attached Sheet. "Land Area Calculation")</t>
  </si>
  <si>
    <t>Area Considered for Valuation</t>
  </si>
  <si>
    <t>f. Parameter of Boundaries</t>
  </si>
  <si>
    <t>East</t>
  </si>
  <si>
    <t xml:space="preserve">West </t>
  </si>
  <si>
    <t xml:space="preserve">North </t>
  </si>
  <si>
    <t>South</t>
  </si>
  <si>
    <t>A.</t>
  </si>
  <si>
    <t>Type of ownership</t>
  </si>
  <si>
    <t>Single</t>
  </si>
  <si>
    <t>Shape of the Land</t>
  </si>
  <si>
    <t>Plain</t>
  </si>
  <si>
    <t>Level of the Land</t>
  </si>
  <si>
    <t>General</t>
  </si>
  <si>
    <t>Topography of Land</t>
  </si>
  <si>
    <t>Nature of soil</t>
  </si>
  <si>
    <t>N/A</t>
  </si>
  <si>
    <t>Access of the Land</t>
  </si>
  <si>
    <t xml:space="preserve">Any Construction on the Land </t>
  </si>
  <si>
    <t>Sewer facility on the Land</t>
  </si>
  <si>
    <t>Yes</t>
  </si>
  <si>
    <t>Nature of the Area</t>
  </si>
  <si>
    <t>Whether the Land is located below the high tension electric line</t>
  </si>
  <si>
    <t>No</t>
  </si>
  <si>
    <t>Address of the Land</t>
  </si>
  <si>
    <t>Positive Feature of Land</t>
  </si>
  <si>
    <t>Any Negative Feature of The area</t>
  </si>
  <si>
    <t>B.</t>
  </si>
  <si>
    <t>Following legally related documents have been checked and noted which are provided by the bank &amp; client as under:</t>
  </si>
  <si>
    <t>Land Ownership Document (Lalpurja)</t>
  </si>
  <si>
    <t>a)</t>
  </si>
  <si>
    <t>Type of Ownership</t>
  </si>
  <si>
    <t>b)</t>
  </si>
  <si>
    <t>Ownership of Land</t>
  </si>
  <si>
    <t>Freehold</t>
  </si>
  <si>
    <t>c)</t>
  </si>
  <si>
    <t>Name of the Owner</t>
  </si>
  <si>
    <t>d)</t>
  </si>
  <si>
    <t>e)</t>
  </si>
  <si>
    <t>f)</t>
  </si>
  <si>
    <t>Comments, if any</t>
  </si>
  <si>
    <t>None</t>
  </si>
  <si>
    <t>Land Revenue (Malpot)</t>
  </si>
  <si>
    <t>Land Registration Paper</t>
  </si>
  <si>
    <t>Wheather Normal Sale/Gift</t>
  </si>
  <si>
    <t>Date of Registration</t>
  </si>
  <si>
    <t>Maps of the Plots prepared by Government Survey Department</t>
  </si>
  <si>
    <t>Whether the plots are indicated</t>
  </si>
  <si>
    <t>Whether access is clearly marked on the map prepared by Government Survey Department</t>
  </si>
  <si>
    <t>Whether the shape of the land in the field tally with the map</t>
  </si>
  <si>
    <t>Whether the area of land increased or decreased compared to the recorded in the existing land Ownership Document</t>
  </si>
  <si>
    <t>Whether free access to the property is Available</t>
  </si>
  <si>
    <t>Has whole or part of the land been notified or acquisition for any other purpose by the Government of any other statutory body</t>
  </si>
  <si>
    <t>Whether the boundary of the property is clearly defined at the site</t>
  </si>
  <si>
    <t>b. Property to be mortgaged</t>
  </si>
  <si>
    <t>Property To be mortgaged</t>
  </si>
  <si>
    <t>Wheather the Current/Revenue has been paid</t>
  </si>
  <si>
    <t>Location of Site</t>
  </si>
  <si>
    <t>Municipality/ VDC</t>
  </si>
  <si>
    <t>1 for Municipality &amp; 0 for VDC</t>
  </si>
  <si>
    <t>Not Seen</t>
  </si>
  <si>
    <t>g. Importance of Location</t>
  </si>
  <si>
    <t>Followings are the some of the merits of the location</t>
  </si>
  <si>
    <t xml:space="preserve">a)      The opinion of Value Stated is based on the facts and assumptions identified in this report. The valuator takes no responsibility for changes in market conditions. </t>
  </si>
  <si>
    <t>b)      The opinion of value stated is based on the information that has been available to the valuator at the time; the valuation analysis has been conducted. The Value of the Property may change substantially with time and Valuator reserves the right to alter the Opinion of Value Stated if relevant information is available later.</t>
  </si>
  <si>
    <t xml:space="preserve">To the best of our knowledge , all matter of factual nature discussed in this Report are true and correct. No important factors have been intentionally overlooked or withheld. </t>
  </si>
  <si>
    <t>Total Land area as per Measurement or Trace paper:</t>
  </si>
  <si>
    <t>Side a</t>
  </si>
  <si>
    <t>Side b</t>
  </si>
  <si>
    <t>Side c</t>
  </si>
  <si>
    <t>S=(a+b+c)/2</t>
  </si>
  <si>
    <t>Total area in Sqft.</t>
  </si>
  <si>
    <t>Land in Ana</t>
  </si>
  <si>
    <t>Total =</t>
  </si>
  <si>
    <t>TOTAL =</t>
  </si>
  <si>
    <t>Total Land area as per Lalpurja:</t>
  </si>
  <si>
    <t>Land Information</t>
  </si>
  <si>
    <t>Land Area</t>
  </si>
  <si>
    <t>Area in Anna</t>
  </si>
  <si>
    <t>Area in Sqft.</t>
  </si>
  <si>
    <t>Dam</t>
  </si>
  <si>
    <t>Area in Sqm. =</t>
  </si>
  <si>
    <t>Area as per measurement</t>
  </si>
  <si>
    <t>Area as per Lalpurja</t>
  </si>
  <si>
    <t>Area considered for Valuation</t>
  </si>
  <si>
    <t>Plot no.</t>
  </si>
  <si>
    <t>A</t>
  </si>
  <si>
    <t>B</t>
  </si>
  <si>
    <t>Land</t>
  </si>
  <si>
    <t>h. Description of Property</t>
  </si>
  <si>
    <t>A. LAND</t>
  </si>
  <si>
    <t>2. Legal Aspects of Property</t>
  </si>
  <si>
    <t>Triangle</t>
  </si>
  <si>
    <t>Certificate of Parameters of Boundary</t>
  </si>
  <si>
    <t>Is the Parameters of Boundary Available</t>
  </si>
  <si>
    <t>Date of Certification</t>
  </si>
  <si>
    <t>Date of Payement of Receipt</t>
  </si>
  <si>
    <t>Methodology of Valuation</t>
  </si>
  <si>
    <t xml:space="preserve">Value of Land has been taken by Direct Comparison with Capitalized Value of Similar Land in the locality. It has been taken on the basis of interview with Client and Local People during field survey. The main factors considered for Valuation are Prevailing Market Price of Land in this area, topography, shape , approach road, importance of location, possibilities of future development etc. </t>
  </si>
  <si>
    <t xml:space="preserve">Between the area of land as per Lalpurja and Area of Land as per </t>
  </si>
  <si>
    <t xml:space="preserve">Measurement , the </t>
  </si>
  <si>
    <t xml:space="preserve">area of land whichever is less has been considered. </t>
  </si>
  <si>
    <t xml:space="preserve">Fair Market Value is calculated based on 40% of Government Rate as </t>
  </si>
  <si>
    <t xml:space="preserve">recommended </t>
  </si>
  <si>
    <t xml:space="preserve">by Land Revenue Department, Government of Nepal and 60% of </t>
  </si>
  <si>
    <t xml:space="preserve">Prevailing Market Rate is taken. </t>
  </si>
  <si>
    <r>
      <t>Rate per sqft of building:</t>
    </r>
    <r>
      <rPr>
        <sz val="12"/>
        <color theme="1"/>
        <rFont val="Times New Roman"/>
        <family val="1"/>
      </rPr>
      <t xml:space="preserve"> Depending upon current rate of the building material and other items, the average reasonable  rate of the building is NRs. 2300.00 per Sqft. For each floor of the building.</t>
    </r>
  </si>
  <si>
    <r>
      <t>Cost of fixtures ( electricity and sanitary):</t>
    </r>
    <r>
      <rPr>
        <sz val="12"/>
        <color theme="1"/>
        <rFont val="Times New Roman"/>
        <family val="1"/>
      </rPr>
      <t xml:space="preserve"> Depending upon current rate of fixture material materials and other items, the reasonable rate of the fixtures are 5% for electricity and 5% for sanitary from the cost of the civil works for the total building cost.</t>
    </r>
  </si>
  <si>
    <t>Declaration of the Valuator</t>
  </si>
  <si>
    <t xml:space="preserve">The valuator declares that it has no interest, financially or otherwise in the property </t>
  </si>
  <si>
    <t>or with the client or property owner.</t>
  </si>
  <si>
    <t>Terminologies Used</t>
  </si>
  <si>
    <r>
      <t>Current Prevailing Market Value</t>
    </r>
    <r>
      <rPr>
        <sz val="12"/>
        <color theme="1"/>
        <rFont val="Times New Roman"/>
        <family val="1"/>
      </rPr>
      <t xml:space="preserve">: The current prevailing market value is the most </t>
    </r>
  </si>
  <si>
    <t xml:space="preserve">ongoing market value at the time of observation, which is obtained from the local </t>
  </si>
  <si>
    <t>residents, brokers and the owner.</t>
  </si>
  <si>
    <r>
      <t>Government Value</t>
    </r>
    <r>
      <rPr>
        <sz val="12"/>
        <color theme="1"/>
        <rFont val="Times New Roman"/>
        <family val="1"/>
      </rPr>
      <t xml:space="preserve">: The minimum government registration rate fixed by Malpot </t>
    </r>
  </si>
  <si>
    <t xml:space="preserve">Office of the concerned district is taken to calculate the government value of the land </t>
  </si>
  <si>
    <t>under consideration.</t>
  </si>
  <si>
    <r>
      <t>Fair Market Value</t>
    </r>
    <r>
      <rPr>
        <sz val="12"/>
        <color theme="1"/>
        <rFont val="Times New Roman"/>
        <family val="1"/>
      </rPr>
      <t xml:space="preserve">: Fair market value is the in-between value of prevailing market </t>
    </r>
  </si>
  <si>
    <t xml:space="preserve">value and the government value, whereby it is calculated by allowing 60% weight to </t>
  </si>
  <si>
    <t>the prevailing market rate and 40% weight to the government rate.</t>
  </si>
  <si>
    <r>
      <t xml:space="preserve">Client : </t>
    </r>
    <r>
      <rPr>
        <sz val="12"/>
        <color theme="1"/>
        <rFont val="Times New Roman"/>
        <family val="1"/>
      </rPr>
      <t xml:space="preserve"> The Client is the person/ company who wish to take service from the </t>
    </r>
  </si>
  <si>
    <t xml:space="preserve">institution. </t>
  </si>
  <si>
    <r>
      <t>Owner:</t>
    </r>
    <r>
      <rPr>
        <sz val="12"/>
        <color theme="1"/>
        <rFont val="Times New Roman"/>
        <family val="1"/>
      </rPr>
      <t xml:space="preserve"> The owner is the person or people who provides support for the Client by </t>
    </r>
  </si>
  <si>
    <t xml:space="preserve">providing available fixed assets to the institution on behalf of the Client in legal </t>
  </si>
  <si>
    <t xml:space="preserve">mode. </t>
  </si>
  <si>
    <r>
      <t>Lalpurja :</t>
    </r>
    <r>
      <rPr>
        <sz val="12"/>
        <color theme="1"/>
        <rFont val="Times New Roman"/>
        <family val="1"/>
      </rPr>
      <t xml:space="preserve"> Lalpurja (Title Deed Document) is the legal document provided by the </t>
    </r>
  </si>
  <si>
    <t xml:space="preserve">government authority to the land owner specifying the ownerhip. </t>
  </si>
  <si>
    <r>
      <t>Cadastral Map :</t>
    </r>
    <r>
      <rPr>
        <sz val="10"/>
        <color theme="1"/>
        <rFont val="Times New Roman"/>
        <family val="1"/>
      </rPr>
      <t xml:space="preserve"> </t>
    </r>
    <r>
      <rPr>
        <sz val="12"/>
        <color theme="1"/>
        <rFont val="Times New Roman"/>
        <family val="1"/>
      </rPr>
      <t xml:space="preserve">Cadastral Map is the map issued by Land Revenue Department </t>
    </r>
  </si>
  <si>
    <t>indicating the plot no, road , river, etc.</t>
  </si>
  <si>
    <t>Access road to the considered property is via under the adjacent building.</t>
  </si>
  <si>
    <t xml:space="preserve">Physical Infrastructure like Sanitary ,Water Supply,  Tv cable, electricity are developed in the area. </t>
  </si>
  <si>
    <t>Remarks:</t>
  </si>
  <si>
    <t>Water supply facility on that Area</t>
  </si>
  <si>
    <t>Electricity Supply on that Area</t>
  </si>
  <si>
    <t>Sale</t>
  </si>
  <si>
    <t>D</t>
  </si>
  <si>
    <t>Building</t>
  </si>
  <si>
    <t xml:space="preserve">Residential </t>
  </si>
  <si>
    <t xml:space="preserve">Approved Drawing of Building </t>
  </si>
  <si>
    <t>Approval of Construction from VDC</t>
  </si>
  <si>
    <t>Construction Completion Certificate</t>
  </si>
  <si>
    <t>Tax Clearance Certificate of Building</t>
  </si>
  <si>
    <t>Type of Property to be mortgaged</t>
  </si>
  <si>
    <t>Area of the land</t>
  </si>
  <si>
    <t>Sqm</t>
  </si>
  <si>
    <t>As per measurement</t>
  </si>
  <si>
    <t>R</t>
  </si>
  <si>
    <t>P</t>
  </si>
  <si>
    <t>Area Considered</t>
  </si>
  <si>
    <t>Parameters of Four Boundary</t>
  </si>
  <si>
    <t>West</t>
  </si>
  <si>
    <t>Accessability</t>
  </si>
  <si>
    <t>North</t>
  </si>
  <si>
    <t>Market Value (NRs)</t>
  </si>
  <si>
    <t>Total Amount</t>
  </si>
  <si>
    <t>Value of the Property:</t>
  </si>
  <si>
    <t>Access Road</t>
  </si>
  <si>
    <t>Width of the Road:</t>
  </si>
  <si>
    <t>Area in Sqm.</t>
  </si>
  <si>
    <t>First Floor</t>
  </si>
  <si>
    <t xml:space="preserve"> Residential </t>
  </si>
  <si>
    <t>S.N.</t>
  </si>
  <si>
    <t>Distance from main road</t>
  </si>
  <si>
    <t>Ft</t>
  </si>
  <si>
    <t>Regular</t>
  </si>
  <si>
    <t>4. Limiting Conditions</t>
  </si>
  <si>
    <t>5. Remarks</t>
  </si>
  <si>
    <t>6. Opinion</t>
  </si>
  <si>
    <t>7. Site Measurement of Land (Area Calculation)</t>
  </si>
  <si>
    <t>8. Methodology of Valuation</t>
  </si>
  <si>
    <t>Valuation Of Property</t>
  </si>
  <si>
    <t>Land &amp; Building</t>
  </si>
  <si>
    <t>The Land area is calculated in accordance to the measurement taken in the field and reference from the government survey sheet(blue print) and trace map. The land area is also referred to from the approved architectural drawing of building.</t>
  </si>
  <si>
    <t>Triangulation method is adopted for the determination of the actual area of land. The dimension of land is given in the separate sheet, which is attached along with this report in the Appendix</t>
  </si>
  <si>
    <t>Mathematically, the area A of a triangle is given by</t>
  </si>
  <si>
    <t>A= ` √s(s-a)(s-b)(s-c)</t>
  </si>
  <si>
    <t>Wheather 6 Month 35 days in case of Normal Sale and 2 years 35 days in case of Gift has elapsed</t>
  </si>
  <si>
    <t xml:space="preserve">       A) Land</t>
  </si>
  <si>
    <t>9. Location Map of the Property/ Triangulation</t>
  </si>
  <si>
    <t>Annex A: Photographs of Property</t>
  </si>
  <si>
    <t>Annex B: Supporting Legal Documents</t>
  </si>
  <si>
    <t>Length</t>
  </si>
  <si>
    <t>Breadth</t>
  </si>
  <si>
    <t>Height</t>
  </si>
  <si>
    <t>Say</t>
  </si>
  <si>
    <t>Owner of the property</t>
  </si>
  <si>
    <t>Location of  Property</t>
  </si>
  <si>
    <t>Details of Land</t>
  </si>
  <si>
    <t>Description of the Building</t>
  </si>
  <si>
    <t>At Present</t>
  </si>
  <si>
    <t>Area Sq. ft.</t>
  </si>
  <si>
    <t>Second Floor</t>
  </si>
  <si>
    <t>Estimation for Completion</t>
  </si>
  <si>
    <t>Progress upto date</t>
  </si>
  <si>
    <t>Required Amount for Completion</t>
  </si>
  <si>
    <t>Ground Floor</t>
  </si>
  <si>
    <t>Total Floor</t>
  </si>
  <si>
    <t>Total of Civil Cost</t>
  </si>
  <si>
    <t>Electrical &amp; Sanitary Cost @ 10% of Civil Cost</t>
  </si>
  <si>
    <t>Total Estimated amount for the Project</t>
  </si>
  <si>
    <t>Required amount for completion of remaining works</t>
  </si>
  <si>
    <t>Tentative Estimate for Building Project</t>
  </si>
  <si>
    <t xml:space="preserve">Fair Market Value of Land </t>
  </si>
  <si>
    <t>Total</t>
  </si>
  <si>
    <t>FMV (NRs)</t>
  </si>
  <si>
    <t>Distress Value(NRs)</t>
  </si>
  <si>
    <t xml:space="preserve">10. Copy of Government Rate </t>
  </si>
  <si>
    <t>We are fully responsible for the information and legal document provided to prepare this valuation report. We are commited, and there is no legal complication. It is not being acquired by government, and it is not a prohibited area for construction.</t>
  </si>
  <si>
    <t>Signature</t>
  </si>
  <si>
    <t>Property Owner</t>
  </si>
  <si>
    <t>Total Fair Market Value of Land &amp; Building Project</t>
  </si>
  <si>
    <t>Status</t>
  </si>
  <si>
    <t xml:space="preserve">    Amount</t>
  </si>
  <si>
    <t>FMV</t>
  </si>
  <si>
    <t>As Per Measurement (Sq. m)</t>
  </si>
  <si>
    <t>As Per Lalpurja (Sq.m)</t>
  </si>
  <si>
    <t xml:space="preserve">Plot No. </t>
  </si>
  <si>
    <t>In words Nrs. Twenty Lakh Eighty Four Thousand Only.</t>
  </si>
  <si>
    <t>In words NRs. Ninety Three Lakh Thirty Six Thousand Only.</t>
  </si>
  <si>
    <t>Client</t>
  </si>
  <si>
    <t>Total Distress Value of Land &amp; Building Project</t>
  </si>
  <si>
    <t>Valuation Date:</t>
  </si>
  <si>
    <t xml:space="preserve">Valuer Name </t>
  </si>
  <si>
    <t>(All the given  amounts are in Nepalese Rupees i.e. NPR)</t>
  </si>
  <si>
    <t>Current Property Owner Name</t>
  </si>
  <si>
    <t>Property Address</t>
  </si>
  <si>
    <t>Four Wall Boundary of the Property  :</t>
  </si>
  <si>
    <t>Valuation For</t>
  </si>
  <si>
    <t>Vacant Land</t>
  </si>
  <si>
    <t>Apartments  / Duplex</t>
  </si>
  <si>
    <t>Construction/Extension/Renovation</t>
  </si>
  <si>
    <t>Motorable Access</t>
  </si>
  <si>
    <t>River / stream near property</t>
  </si>
  <si>
    <t>Heritage/Memorial sites near property</t>
  </si>
  <si>
    <t>Property Type</t>
  </si>
  <si>
    <t>Residential</t>
  </si>
  <si>
    <t>Commercial</t>
  </si>
  <si>
    <t>Industrial</t>
  </si>
  <si>
    <t>Agricultural</t>
  </si>
  <si>
    <t>Property Ownership Type</t>
  </si>
  <si>
    <t>Company</t>
  </si>
  <si>
    <t>Individual (Single name)</t>
  </si>
  <si>
    <t>Individual (Joint name)</t>
  </si>
  <si>
    <t>Ownership transferred through</t>
  </si>
  <si>
    <t>Bakaspatra</t>
  </si>
  <si>
    <t>Family Separation</t>
  </si>
  <si>
    <t>Hold Type</t>
  </si>
  <si>
    <t>Leasehold</t>
  </si>
  <si>
    <t>Residual Age of the Property</t>
  </si>
  <si>
    <t>Years</t>
  </si>
  <si>
    <t>Area (Square meter)</t>
  </si>
  <si>
    <t>Fair Market Value (FMV)</t>
  </si>
  <si>
    <t>Land Value</t>
  </si>
  <si>
    <t>Building Value</t>
  </si>
  <si>
    <t>Apartment Value</t>
  </si>
  <si>
    <t>Construction Value</t>
  </si>
  <si>
    <t>Extension  / Renovation Value</t>
  </si>
  <si>
    <t>Special Comments :</t>
  </si>
  <si>
    <t>2.The property does not have any danger of flood &amp; land slide</t>
  </si>
  <si>
    <t>3.Statements of fact are true and correct</t>
  </si>
  <si>
    <t>4.We have no interest in the transaction of property</t>
  </si>
  <si>
    <t>5.An inspection of the property has been done.</t>
  </si>
  <si>
    <t>7.The property does not have any issues related to access, ownership, saleability,etc. based on the review of the required land ownership documents, blue print, tansfer document and as verified by us with the respective Land Revenue ( Malpot) Office.</t>
  </si>
  <si>
    <t xml:space="preserve">As a collateral security for the Banking Facilities,  the property is </t>
  </si>
  <si>
    <t>Recommended</t>
  </si>
  <si>
    <t>Not Recommended</t>
  </si>
  <si>
    <t>Signature of  Valuer</t>
  </si>
  <si>
    <t>Name of the Valuing Staff</t>
  </si>
  <si>
    <t>Survey Date:</t>
  </si>
  <si>
    <t>Er. Sukhla Deep Shrestha</t>
  </si>
  <si>
    <t>Client's Name</t>
  </si>
  <si>
    <t xml:space="preserve">Metropolitan City / Municipality </t>
  </si>
  <si>
    <t xml:space="preserve">   Readymade House</t>
  </si>
  <si>
    <t xml:space="preserve">TOTAL VALUE : </t>
  </si>
  <si>
    <t>Commercial rate Per Aana</t>
  </si>
  <si>
    <t>Govt.rate Per Aana</t>
  </si>
  <si>
    <t>Distress Value (DV)(80%of FMV)</t>
  </si>
  <si>
    <t>3. Summary of Valuation of Property 2</t>
  </si>
  <si>
    <t>3. Summary of Valuation of Property 1</t>
  </si>
  <si>
    <t>Covering letter of consultant Engineer.</t>
  </si>
  <si>
    <t>11. Commitment of Property Owner and Client</t>
  </si>
  <si>
    <r>
      <t xml:space="preserve">Sum of </t>
    </r>
    <r>
      <rPr>
        <b/>
        <sz val="11"/>
        <color theme="1"/>
        <rFont val="Calibri"/>
        <family val="2"/>
        <scheme val="minor"/>
      </rPr>
      <t>30%</t>
    </r>
    <r>
      <rPr>
        <sz val="11"/>
        <color theme="1"/>
        <rFont val="Calibri"/>
        <family val="2"/>
        <scheme val="minor"/>
      </rPr>
      <t xml:space="preserve"> of SN1 and </t>
    </r>
    <r>
      <rPr>
        <b/>
        <sz val="11"/>
        <color theme="1"/>
        <rFont val="Calibri"/>
        <family val="2"/>
        <scheme val="minor"/>
      </rPr>
      <t>70%</t>
    </r>
    <r>
      <rPr>
        <sz val="11"/>
        <color theme="1"/>
        <rFont val="Calibri"/>
        <family val="2"/>
        <scheme val="minor"/>
      </rPr>
      <t xml:space="preserve"> of SN2</t>
    </r>
  </si>
  <si>
    <r>
      <t xml:space="preserve">Average Rate of Land per Anna </t>
    </r>
    <r>
      <rPr>
        <sz val="12"/>
        <color theme="1"/>
        <rFont val="Calibri"/>
        <family val="2"/>
        <scheme val="minor"/>
      </rPr>
      <t xml:space="preserve">(Taking weightage </t>
    </r>
    <r>
      <rPr>
        <b/>
        <sz val="12"/>
        <color theme="1"/>
        <rFont val="Calibri"/>
        <family val="2"/>
        <scheme val="minor"/>
      </rPr>
      <t>30%</t>
    </r>
    <r>
      <rPr>
        <sz val="12"/>
        <color theme="1"/>
        <rFont val="Calibri"/>
        <family val="2"/>
        <scheme val="minor"/>
      </rPr>
      <t xml:space="preserve"> of Gov Rate and </t>
    </r>
    <r>
      <rPr>
        <b/>
        <sz val="12"/>
        <color theme="1"/>
        <rFont val="Calibri"/>
        <family val="2"/>
        <scheme val="minor"/>
      </rPr>
      <t>70%</t>
    </r>
    <r>
      <rPr>
        <sz val="12"/>
        <color theme="1"/>
        <rFont val="Calibri"/>
        <family val="2"/>
        <scheme val="minor"/>
      </rPr>
      <t xml:space="preserve"> of market Rate) </t>
    </r>
  </si>
  <si>
    <t>6. The building is constructed on the land.</t>
  </si>
  <si>
    <r>
      <t>In our opinion, the Property may be taken as mortgage for the Bank value  recommended in the Property Valuation Report. However, all the remarks made above shall be taken into consideration and all Legal Documents shall be scrutinized by Legal Expert.  
The said properties have been verified after visiting the site and measuring it as shown by the Client for the purpose of mortgaging it in</t>
    </r>
    <r>
      <rPr>
        <b/>
        <sz val="11"/>
        <color theme="1"/>
        <rFont val="Calibri"/>
        <family val="2"/>
      </rPr>
      <t xml:space="preserve"> M/S Kamana Sewa Bikas Bank Ltd.</t>
    </r>
  </si>
  <si>
    <t xml:space="preserve">Value of Building  :  </t>
  </si>
  <si>
    <t>Structural System</t>
  </si>
  <si>
    <t>RCC</t>
  </si>
  <si>
    <t>SN</t>
  </si>
  <si>
    <t xml:space="preserve">Total Floor </t>
  </si>
  <si>
    <t>Total Cost of Civil Works</t>
  </si>
  <si>
    <t>Sanitary and Water Supply @ 5 % of Civil works</t>
  </si>
  <si>
    <t xml:space="preserve"> Electrical @ 5 % of Civil works</t>
  </si>
  <si>
    <t>Total Cost of the Building</t>
  </si>
  <si>
    <t>Value of Building</t>
  </si>
  <si>
    <t>NRs:</t>
  </si>
  <si>
    <t xml:space="preserve">Life of Building Considered </t>
  </si>
  <si>
    <t>yrs</t>
  </si>
  <si>
    <t>Age of Building</t>
  </si>
  <si>
    <t>Depreciation Rate</t>
  </si>
  <si>
    <t>Total Depreciation</t>
  </si>
  <si>
    <t xml:space="preserve">Amount of Depreciation </t>
  </si>
  <si>
    <t>Net Value of Building</t>
  </si>
  <si>
    <t>Average Rate of the floor per sqft (After necessary addition &amp; deduction)</t>
  </si>
  <si>
    <t xml:space="preserve">35% Of Government Value Of Land </t>
  </si>
  <si>
    <t>65% Of Market Value Of Land</t>
  </si>
  <si>
    <t xml:space="preserve">Total Fair Market Value of Land </t>
  </si>
  <si>
    <t>B. BUILDING</t>
  </si>
  <si>
    <t>Purpose of the Building</t>
  </si>
  <si>
    <t>No of floor of the Building Constructed</t>
  </si>
  <si>
    <t>Total Sq ft of Building In Dwg.</t>
  </si>
  <si>
    <t>Type of the Building's Structure</t>
  </si>
  <si>
    <t>RCC Frame Structure</t>
  </si>
  <si>
    <t>Thickness of Slab</t>
  </si>
  <si>
    <t>Thickness of Wall</t>
  </si>
  <si>
    <t>9"</t>
  </si>
  <si>
    <t>Height of each Floor of Building</t>
  </si>
  <si>
    <t>9'</t>
  </si>
  <si>
    <t>Total Height of Building</t>
  </si>
  <si>
    <t>Breadth of Building</t>
  </si>
  <si>
    <t>Length of Building</t>
  </si>
  <si>
    <t>Type of Foundation of Building</t>
  </si>
  <si>
    <t>Isolated</t>
  </si>
  <si>
    <t>Age of the Building</t>
  </si>
  <si>
    <t>Expected life of Building</t>
  </si>
  <si>
    <t>45 Years</t>
  </si>
  <si>
    <t>Sewer facility in the building</t>
  </si>
  <si>
    <t>Water supply facility in the Building</t>
  </si>
  <si>
    <t>Electricity Supply in the Building</t>
  </si>
  <si>
    <t>Telephone Facility</t>
  </si>
  <si>
    <t>Underground Water Tank</t>
  </si>
  <si>
    <t>Overhead Water Tank</t>
  </si>
  <si>
    <t>Solar Panel</t>
  </si>
  <si>
    <t>Deep Boring/Tube Well</t>
  </si>
  <si>
    <t>Any remarkable defects like dampness, cracks etc</t>
  </si>
  <si>
    <t>Repair and Maintenance</t>
  </si>
  <si>
    <t>Address of the Building</t>
  </si>
  <si>
    <t>4.2 Current Rate of Major Building Materials</t>
  </si>
  <si>
    <t>S.No</t>
  </si>
  <si>
    <t>Description of Materials</t>
  </si>
  <si>
    <t>Rate (NRs.)</t>
  </si>
  <si>
    <t>Units</t>
  </si>
  <si>
    <t>Local Bricks</t>
  </si>
  <si>
    <t>No.</t>
  </si>
  <si>
    <t>Cement</t>
  </si>
  <si>
    <t>Bags</t>
  </si>
  <si>
    <t>Reinforcement</t>
  </si>
  <si>
    <t>Kg.</t>
  </si>
  <si>
    <t>Sand</t>
  </si>
  <si>
    <t>Cubic. Ft.</t>
  </si>
  <si>
    <t>Aggregates</t>
  </si>
  <si>
    <t>Timber</t>
  </si>
  <si>
    <t>VALUATION OF THE PROPERTY</t>
  </si>
  <si>
    <t>Commercial Value(NRs.)</t>
  </si>
  <si>
    <t>Fair Market Value(NRs.)</t>
  </si>
  <si>
    <r>
      <t>Distress Value (</t>
    </r>
    <r>
      <rPr>
        <b/>
        <sz val="11"/>
        <color theme="1"/>
        <rFont val="Calibri"/>
        <family val="2"/>
        <scheme val="minor"/>
      </rPr>
      <t xml:space="preserve">80% of FMV </t>
    </r>
    <r>
      <rPr>
        <sz val="11"/>
        <color theme="1"/>
        <rFont val="Calibri"/>
        <family val="2"/>
        <scheme val="minor"/>
      </rPr>
      <t>)(NRs.)</t>
    </r>
  </si>
  <si>
    <t xml:space="preserve">       B) Building</t>
  </si>
  <si>
    <t>RCC Building</t>
  </si>
  <si>
    <t>5"</t>
  </si>
  <si>
    <t>12. Certification</t>
  </si>
  <si>
    <t>Checked By</t>
  </si>
  <si>
    <t>Mobile No. 9851246415</t>
  </si>
  <si>
    <r>
      <t xml:space="preserve">I/We hereby certify that Valuation of the Properties as detailed in this report has been carried 
out by me/us in strict Compliance with Valuation Guidelines of </t>
    </r>
    <r>
      <rPr>
        <b/>
        <sz val="11"/>
        <color rgb="FF000000"/>
        <rFont val="Calibri"/>
        <family val="2"/>
      </rPr>
      <t>M/S Kamana Sewa Bikas Bank Ltd.</t>
    </r>
    <r>
      <rPr>
        <sz val="11"/>
        <color rgb="FF000000"/>
        <rFont val="Calibri"/>
        <family val="2"/>
      </rPr>
      <t xml:space="preserve">
The said property is an acceptable security to bank in all respects.
</t>
    </r>
  </si>
  <si>
    <t>Owner's Name</t>
  </si>
  <si>
    <t>Public Transportation is 5min walking distance from the considered site.</t>
  </si>
  <si>
    <t>Kathmandu</t>
  </si>
  <si>
    <t>Road</t>
  </si>
  <si>
    <t>Registration No.</t>
  </si>
  <si>
    <t>Proprietor's Name</t>
  </si>
  <si>
    <t xml:space="preserve">Kathmandu  </t>
  </si>
  <si>
    <t>PAN No:</t>
  </si>
  <si>
    <t xml:space="preserve"> Father in Law's Name</t>
  </si>
  <si>
    <t>Husband's Name</t>
  </si>
  <si>
    <t>Decreased</t>
  </si>
  <si>
    <t>Third Floor</t>
  </si>
  <si>
    <r>
      <rPr>
        <b/>
        <sz val="11"/>
        <color theme="1"/>
        <rFont val="Calibri"/>
        <family val="2"/>
        <scheme val="minor"/>
      </rPr>
      <t xml:space="preserve">Rs 5 Lakh 60 Thousands </t>
    </r>
    <r>
      <rPr>
        <sz val="11"/>
        <color theme="1"/>
        <rFont val="Calibri"/>
        <family val="2"/>
        <scheme val="minor"/>
      </rPr>
      <t>Per Aana as per gov Rate</t>
    </r>
  </si>
  <si>
    <t>Mrs. Lila Khatri</t>
  </si>
  <si>
    <t>Tarkeshwor Municipality-01(Sabik Sangla VDC 09'Ka'), Kathmandu District</t>
  </si>
  <si>
    <t>Approx. 550m North-East from Bhatkya Pool Via Mega City.</t>
  </si>
  <si>
    <t>Plot no. 792</t>
  </si>
  <si>
    <t>Plot No.790</t>
  </si>
  <si>
    <t>Plot no. 785</t>
  </si>
  <si>
    <r>
      <t xml:space="preserve"> The Considered Site is resindential area located at </t>
    </r>
    <r>
      <rPr>
        <b/>
        <i/>
        <sz val="11"/>
        <color theme="1"/>
        <rFont val="Calibri"/>
        <family val="2"/>
        <scheme val="minor"/>
      </rPr>
      <t>Mega City,Sangla.</t>
    </r>
  </si>
  <si>
    <t>Access Road to the considered site is 13ft wide Concerete Road at South side.</t>
  </si>
  <si>
    <t>Physical Infrastructure like  Sewerage line, Water Supply, Telephone,Tv Cable, Electricity Line are available in the considered site</t>
  </si>
  <si>
    <t>02 Feb, 2023</t>
  </si>
  <si>
    <t>Tarkeshwor Municipality</t>
  </si>
  <si>
    <t>Mega City, Sangla, Tarkeshwor Municipality</t>
  </si>
  <si>
    <t>(Sq.ft)</t>
  </si>
  <si>
    <r>
      <t xml:space="preserve">1. ROW (Right of Way) </t>
    </r>
    <r>
      <rPr>
        <b/>
        <sz val="9"/>
        <rFont val="Arial"/>
        <family val="2"/>
      </rPr>
      <t>No. deduction has been done</t>
    </r>
    <r>
      <rPr>
        <sz val="9"/>
        <rFont val="Arial"/>
        <family val="2"/>
      </rPr>
      <t xml:space="preserve"> .</t>
    </r>
  </si>
  <si>
    <t>M/S. Mokshya Trade &amp; Suppliers</t>
  </si>
  <si>
    <t>Mr. Binod Kumar Khatri</t>
  </si>
  <si>
    <t>M/S. Mokshya Trade &amp; Suppliers Mr. Binod Kumar Khatri</t>
  </si>
  <si>
    <t>M/S. Mokshya Trade &amp; Suppliers          Mr. Binod Kumar Khatri</t>
  </si>
  <si>
    <t>M/S. Mokshya Trade &amp; Suppliers   &amp;                                       Mr. Binod Kumar Khatri</t>
  </si>
  <si>
    <t>Tokha</t>
  </si>
  <si>
    <t>147501/075/76</t>
  </si>
  <si>
    <t>076/01/11</t>
  </si>
  <si>
    <t>Department of Commerce Supplies &amp; Consumer Protection</t>
  </si>
  <si>
    <t>Ramechhap</t>
  </si>
  <si>
    <t>11032/12466</t>
  </si>
  <si>
    <t>066/06/18</t>
  </si>
  <si>
    <t>District Administrative Office, Ramechhap</t>
  </si>
  <si>
    <t>Father's Name</t>
  </si>
  <si>
    <t>Grand Father's Name</t>
  </si>
  <si>
    <t>Mr. Saha Bahadur Khatri</t>
  </si>
  <si>
    <t>Bhimeshwor</t>
  </si>
  <si>
    <t>Dolakha</t>
  </si>
  <si>
    <t>068/06/06</t>
  </si>
  <si>
    <t>District Administrative Office, Dolakha</t>
  </si>
  <si>
    <t xml:space="preserve">1. Copy of Registration Certificate </t>
  </si>
  <si>
    <t>2. Copy of PAN</t>
  </si>
  <si>
    <t>3. Copy of Citizenship Certificate of Owner/ Client</t>
  </si>
  <si>
    <t>4. Copy of Title Deed Certificate (Lal purja)</t>
  </si>
  <si>
    <t>5. Land Revenue Payment Receipt</t>
  </si>
  <si>
    <t>6. Four Boundary disclosure</t>
  </si>
  <si>
    <t>7. Trace Map</t>
  </si>
  <si>
    <t>8. Original Blue Print</t>
  </si>
  <si>
    <t>9. Copy of Building Construction Approval Certificate</t>
  </si>
  <si>
    <t>10. Copy of Building Construction Completion(Partial) Certificate</t>
  </si>
  <si>
    <t>11. Copy of  Approved Building Drawing</t>
  </si>
  <si>
    <t>Bhatauli</t>
  </si>
  <si>
    <t>Gongabu</t>
  </si>
  <si>
    <t>550m North-East from Bhatkya Pool Via Mega City.</t>
  </si>
  <si>
    <r>
      <t xml:space="preserve">                 Certified By: Tarkeshwor Municipality, Ward Office-1, Dated </t>
    </r>
    <r>
      <rPr>
        <b/>
        <sz val="11"/>
        <color rgb="FFFF0000"/>
        <rFont val="Calibri"/>
        <family val="2"/>
        <scheme val="minor"/>
      </rPr>
      <t>2079/09/07  Ref:  1492 -079/080.</t>
    </r>
  </si>
  <si>
    <r>
      <t>The Property is located at</t>
    </r>
    <r>
      <rPr>
        <b/>
        <sz val="11"/>
        <color theme="1"/>
        <rFont val="Calibri"/>
        <family val="2"/>
      </rPr>
      <t xml:space="preserve"> Tarkeshwor Municipality-01(Sabik Sangla VDC 09'Ka'), Kathmandu District.</t>
    </r>
    <r>
      <rPr>
        <sz val="11"/>
        <color theme="1"/>
        <rFont val="Calibri"/>
        <family val="2"/>
      </rPr>
      <t xml:space="preserve"> The site can be accessed  from </t>
    </r>
    <r>
      <rPr>
        <b/>
        <sz val="11"/>
        <color theme="1"/>
        <rFont val="Calibri"/>
        <family val="2"/>
      </rPr>
      <t>Bhatkya Pool and Travelling around  550m North-East from Bhatkya Pool Via Mega City,</t>
    </r>
    <r>
      <rPr>
        <sz val="11"/>
        <color theme="1"/>
        <rFont val="Calibri"/>
        <family val="2"/>
      </rPr>
      <t xml:space="preserve"> We can reach this Property.</t>
    </r>
  </si>
  <si>
    <t>13ft Wide Concrete Slab Road</t>
  </si>
  <si>
    <t>3&amp; half floor</t>
  </si>
  <si>
    <t>29'-09"</t>
  </si>
  <si>
    <t xml:space="preserve"> 0 Years</t>
  </si>
  <si>
    <t>29'-02"</t>
  </si>
  <si>
    <t>41'-11"</t>
  </si>
  <si>
    <t>2079/     /</t>
  </si>
  <si>
    <t xml:space="preserve"> 2075/05/12</t>
  </si>
  <si>
    <t>2079/09/07</t>
  </si>
  <si>
    <r>
      <t xml:space="preserve">Ownership of the land is Free Hold and is in the name of </t>
    </r>
    <r>
      <rPr>
        <b/>
        <sz val="11"/>
        <color theme="1"/>
        <rFont val="Calibri"/>
        <family val="2"/>
      </rPr>
      <t>Mrs. Lila Khatri.</t>
    </r>
  </si>
  <si>
    <r>
      <t xml:space="preserve">The considered Property lies in </t>
    </r>
    <r>
      <rPr>
        <b/>
        <sz val="11"/>
        <color theme="1"/>
        <rFont val="Calibri"/>
        <family val="2"/>
      </rPr>
      <t>Tarkeshwor Municipality-01(Sabik Sangla VDC 09'Ka'), Kathmandu District.</t>
    </r>
  </si>
  <si>
    <t>Mr. Ram Bahadur Khatri</t>
  </si>
  <si>
    <r>
      <t>A number of local people and landowners in the vicinity were interviewed and to the best of our knowledge , no legal dispute has been recorded. Ownership of property has been verified on the basis of Title Deed Certificate (Lalpurja), interview with Client and the Local People during the field survey in</t>
    </r>
    <r>
      <rPr>
        <b/>
        <sz val="11"/>
        <color theme="1"/>
        <rFont val="Calibri"/>
        <family val="2"/>
        <scheme val="minor"/>
      </rPr>
      <t xml:space="preserve"> Jan 30, 2023</t>
    </r>
    <r>
      <rPr>
        <sz val="11"/>
        <color theme="1"/>
        <rFont val="Calibri"/>
        <family val="2"/>
        <scheme val="minor"/>
      </rPr>
      <t>.</t>
    </r>
  </si>
  <si>
    <t>Er.Nabin Chandra Ghimire</t>
  </si>
  <si>
    <t>Mobile No. 9851316737</t>
  </si>
  <si>
    <r>
      <t>On the basis of the details provided by Client and Field verification, At Present Fair Market Value of property is</t>
    </r>
    <r>
      <rPr>
        <b/>
        <sz val="12"/>
        <color theme="1"/>
        <rFont val="Calibri"/>
        <family val="2"/>
        <scheme val="minor"/>
      </rPr>
      <t xml:space="preserve"> 18,640,000.00 In Words: NRs Eighteen Million  and Six Hundred and Forty  Thousands Only. </t>
    </r>
    <r>
      <rPr>
        <sz val="12"/>
        <color theme="1"/>
        <rFont val="Calibri"/>
        <family val="2"/>
        <scheme val="minor"/>
      </rPr>
      <t>At</t>
    </r>
    <r>
      <rPr>
        <b/>
        <sz val="12"/>
        <color theme="1"/>
        <rFont val="Calibri"/>
        <family val="2"/>
        <scheme val="minor"/>
      </rPr>
      <t xml:space="preserve"> </t>
    </r>
    <r>
      <rPr>
        <sz val="12"/>
        <color theme="1"/>
        <rFont val="Calibri"/>
        <family val="2"/>
        <scheme val="minor"/>
      </rPr>
      <t>Present Distress Value of property is</t>
    </r>
    <r>
      <rPr>
        <b/>
        <sz val="12"/>
        <color theme="1"/>
        <rFont val="Calibri"/>
        <family val="2"/>
        <scheme val="minor"/>
      </rPr>
      <t xml:space="preserve"> 14,912,000.00 In Words: NRs Fourteen Million Nine Hundred and Twelve Thousands Only.</t>
    </r>
  </si>
  <si>
    <r>
      <t xml:space="preserve">The said site is linked via </t>
    </r>
    <r>
      <rPr>
        <b/>
        <sz val="11"/>
        <color theme="1"/>
        <rFont val="Calibri"/>
        <family val="2"/>
        <scheme val="minor"/>
      </rPr>
      <t>13ft wide Concrete Slab Road at South Side</t>
    </r>
    <r>
      <rPr>
        <sz val="11"/>
        <color theme="1"/>
        <rFont val="Calibri"/>
        <family val="2"/>
        <scheme val="minor"/>
      </rPr>
      <t xml:space="preserve">. The site can be accessed from </t>
    </r>
    <r>
      <rPr>
        <b/>
        <sz val="11"/>
        <color theme="1"/>
        <rFont val="Calibri"/>
        <family val="2"/>
        <scheme val="minor"/>
      </rPr>
      <t>Bhatkya Pool</t>
    </r>
    <r>
      <rPr>
        <sz val="11"/>
        <color theme="1"/>
        <rFont val="Calibri"/>
        <family val="2"/>
        <scheme val="minor"/>
      </rPr>
      <t xml:space="preserve"> and Travelling around </t>
    </r>
    <r>
      <rPr>
        <b/>
        <sz val="11"/>
        <color theme="1"/>
        <rFont val="Calibri"/>
        <family val="2"/>
        <scheme val="minor"/>
      </rPr>
      <t xml:space="preserve"> 550m North-East from Bhatkya Pool Via Mega City</t>
    </r>
    <r>
      <rPr>
        <sz val="11"/>
        <color theme="1"/>
        <rFont val="Calibri"/>
        <family val="2"/>
        <scheme val="minor"/>
      </rPr>
      <t>, We can reach this Property.</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</si>
</sst>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1" formatCode="_(* #,##0_);_(* \(#,##0\);_(* &quot;-&quot;_);_(@_)"/>
    <numFmt numFmtId="43" formatCode="_(* #,##0.00_);_(* \(#,##0.00\);_(* &quot;-&quot;??_);_(@_)"/>
    <numFmt numFmtId="164" formatCode="0.0"/>
    <numFmt numFmtId="165" formatCode="_(* #,##0_);_(* \(#,##0\);_(* &quot;-&quot;??_);_(@_)"/>
    <numFmt numFmtId="166" formatCode="_(* #,##0.0_);_(* \(#,##0.0\);_(* &quot;-&quot;?_);_(@_)"/>
    <numFmt numFmtId="167" formatCode="[$-409]d\-mmm\-yy;@"/>
  </numFmts>
  <fonts count="65" x14ac:knownFonts="1">
    <font>
      <sz val="11"/>
      <color theme="1"/>
      <name val="Calibri"/>
      <family val="2"/>
      <scheme val="minor"/>
    </font>
    <font>
      <sz val="11"/>
      <color theme="1"/>
      <name val="Calibri"/>
      <family val="2"/>
      <scheme val="minor"/>
    </font>
    <font>
      <b/>
      <sz val="14"/>
      <color theme="1"/>
      <name val="Times New Roman"/>
      <family val="1"/>
    </font>
    <font>
      <b/>
      <sz val="11"/>
      <color theme="1"/>
      <name val="Calibri"/>
      <family val="2"/>
      <scheme val="minor"/>
    </font>
    <font>
      <sz val="14"/>
      <color theme="1"/>
      <name val="Times New Roman"/>
      <family val="1"/>
    </font>
    <font>
      <i/>
      <sz val="14"/>
      <color theme="1"/>
      <name val="Times New Roman"/>
      <family val="1"/>
    </font>
    <font>
      <sz val="8"/>
      <color theme="1"/>
      <name val="Calibri"/>
      <family val="2"/>
      <scheme val="minor"/>
    </font>
    <font>
      <sz val="10"/>
      <name val="Arial Narrow"/>
      <family val="2"/>
    </font>
    <font>
      <b/>
      <sz val="10"/>
      <name val="Arial"/>
      <family val="2"/>
    </font>
    <font>
      <sz val="10"/>
      <name val="Arial"/>
      <family val="2"/>
    </font>
    <font>
      <b/>
      <u/>
      <sz val="10"/>
      <name val="Arial"/>
      <family val="2"/>
    </font>
    <font>
      <sz val="12"/>
      <color theme="1"/>
      <name val="Calibri"/>
      <family val="2"/>
      <scheme val="minor"/>
    </font>
    <font>
      <sz val="11"/>
      <name val="Calibri"/>
      <family val="2"/>
      <scheme val="minor"/>
    </font>
    <font>
      <b/>
      <sz val="14"/>
      <color theme="1"/>
      <name val="Calibri"/>
      <family val="2"/>
      <scheme val="minor"/>
    </font>
    <font>
      <b/>
      <sz val="12"/>
      <color theme="1"/>
      <name val="Calibri"/>
      <family val="2"/>
      <scheme val="minor"/>
    </font>
    <font>
      <sz val="11"/>
      <color theme="1"/>
      <name val="Calibri"/>
      <family val="2"/>
    </font>
    <font>
      <b/>
      <u/>
      <sz val="11"/>
      <color theme="1"/>
      <name val="Times New Roman"/>
      <family val="1"/>
    </font>
    <font>
      <sz val="10"/>
      <color theme="1"/>
      <name val="Times New Roman"/>
      <family val="1"/>
    </font>
    <font>
      <sz val="12"/>
      <color theme="1"/>
      <name val="Times New Roman"/>
      <family val="1"/>
    </font>
    <font>
      <b/>
      <sz val="12"/>
      <name val="Calibri"/>
      <family val="2"/>
    </font>
    <font>
      <sz val="12"/>
      <name val="Calibri"/>
      <family val="2"/>
    </font>
    <font>
      <b/>
      <sz val="11"/>
      <name val="Calibri"/>
      <family val="2"/>
    </font>
    <font>
      <sz val="11"/>
      <name val="Calibri"/>
      <family val="2"/>
    </font>
    <font>
      <b/>
      <sz val="14"/>
      <name val="Calibri"/>
      <family val="2"/>
      <scheme val="minor"/>
    </font>
    <font>
      <b/>
      <sz val="11"/>
      <color theme="1"/>
      <name val="Calibri"/>
      <family val="2"/>
    </font>
    <font>
      <b/>
      <sz val="12"/>
      <color theme="1"/>
      <name val="Arial"/>
      <family val="2"/>
    </font>
    <font>
      <b/>
      <sz val="12"/>
      <color theme="1"/>
      <name val="Times New Roman"/>
      <family val="1"/>
    </font>
    <font>
      <b/>
      <sz val="16"/>
      <color theme="1"/>
      <name val="Times New Roman"/>
      <family val="1"/>
    </font>
    <font>
      <b/>
      <sz val="10"/>
      <color theme="1"/>
      <name val="Times New Roman"/>
      <family val="1"/>
    </font>
    <font>
      <sz val="9"/>
      <color theme="1"/>
      <name val="Calibri"/>
      <family val="2"/>
      <scheme val="minor"/>
    </font>
    <font>
      <sz val="11"/>
      <color indexed="8"/>
      <name val="Calibri"/>
      <family val="2"/>
    </font>
    <font>
      <b/>
      <u/>
      <sz val="11"/>
      <color theme="1"/>
      <name val="Calibri"/>
      <family val="2"/>
      <scheme val="minor"/>
    </font>
    <font>
      <b/>
      <sz val="11"/>
      <color theme="0"/>
      <name val="Calibri"/>
      <family val="2"/>
      <scheme val="minor"/>
    </font>
    <font>
      <sz val="11"/>
      <color theme="0"/>
      <name val="Calibri"/>
      <family val="2"/>
      <scheme val="minor"/>
    </font>
    <font>
      <b/>
      <sz val="9"/>
      <color rgb="FF000000"/>
      <name val="Times New Roman"/>
      <family val="1"/>
    </font>
    <font>
      <sz val="9"/>
      <color rgb="FF000000"/>
      <name val="Times New Roman"/>
      <family val="1"/>
    </font>
    <font>
      <b/>
      <u/>
      <sz val="14"/>
      <color theme="1"/>
      <name val="Calibri"/>
      <family val="2"/>
      <scheme val="minor"/>
    </font>
    <font>
      <sz val="12"/>
      <color theme="1"/>
      <name val="Cambria"/>
      <family val="1"/>
      <scheme val="major"/>
    </font>
    <font>
      <i/>
      <sz val="14"/>
      <color theme="1"/>
      <name val="Calibri"/>
      <family val="2"/>
      <scheme val="minor"/>
    </font>
    <font>
      <sz val="8"/>
      <color rgb="FF000000"/>
      <name val="Tahoma"/>
      <family val="2"/>
    </font>
    <font>
      <sz val="12"/>
      <name val="Times New Roman"/>
      <family val="1"/>
    </font>
    <font>
      <sz val="11"/>
      <color theme="1"/>
      <name val="Times New Roman"/>
      <family val="1"/>
    </font>
    <font>
      <b/>
      <sz val="10"/>
      <color rgb="FF000000"/>
      <name val="Times New Roman"/>
      <family val="1"/>
    </font>
    <font>
      <sz val="10"/>
      <color rgb="FF000000"/>
      <name val="Times New Roman"/>
      <family val="1"/>
    </font>
    <font>
      <b/>
      <sz val="11"/>
      <color indexed="8"/>
      <name val="Calibri"/>
      <family val="2"/>
    </font>
    <font>
      <b/>
      <sz val="16"/>
      <color indexed="8"/>
      <name val="Calibri"/>
      <family val="2"/>
    </font>
    <font>
      <b/>
      <sz val="11"/>
      <color rgb="FFFF0000"/>
      <name val="Calibri"/>
      <family val="2"/>
      <scheme val="minor"/>
    </font>
    <font>
      <b/>
      <sz val="14"/>
      <name val="Arial"/>
      <family val="2"/>
    </font>
    <font>
      <b/>
      <sz val="9"/>
      <name val="Arial"/>
      <family val="2"/>
    </font>
    <font>
      <sz val="9"/>
      <name val="Arial"/>
      <family val="2"/>
    </font>
    <font>
      <u/>
      <sz val="9"/>
      <name val="Arial"/>
      <family val="2"/>
    </font>
    <font>
      <sz val="9"/>
      <name val="Times New Roman"/>
      <family val="1"/>
    </font>
    <font>
      <b/>
      <sz val="8"/>
      <name val="Arial"/>
      <family val="2"/>
    </font>
    <font>
      <sz val="9"/>
      <color indexed="10"/>
      <name val="Arial"/>
      <family val="2"/>
    </font>
    <font>
      <sz val="10"/>
      <color indexed="10"/>
      <name val="Arial"/>
      <family val="2"/>
    </font>
    <font>
      <b/>
      <sz val="9"/>
      <color indexed="10"/>
      <name val="Arial"/>
      <family val="2"/>
    </font>
    <font>
      <i/>
      <sz val="11"/>
      <color theme="1"/>
      <name val="Calibri"/>
      <family val="2"/>
      <scheme val="minor"/>
    </font>
    <font>
      <b/>
      <i/>
      <sz val="11"/>
      <color theme="1"/>
      <name val="Calibri"/>
      <family val="2"/>
      <scheme val="minor"/>
    </font>
    <font>
      <b/>
      <sz val="13"/>
      <color theme="1"/>
      <name val="Calibri"/>
      <family val="2"/>
      <scheme val="minor"/>
    </font>
    <font>
      <sz val="13"/>
      <color theme="1"/>
      <name val="Calibri"/>
      <family val="2"/>
      <scheme val="minor"/>
    </font>
    <font>
      <b/>
      <sz val="14"/>
      <color rgb="FF000000"/>
      <name val="Times New Roman"/>
      <family val="1"/>
    </font>
    <font>
      <sz val="11"/>
      <color rgb="FF000000"/>
      <name val="Calibri"/>
      <family val="2"/>
    </font>
    <font>
      <b/>
      <sz val="11"/>
      <color rgb="FF000000"/>
      <name val="Calibri"/>
      <family val="2"/>
    </font>
    <font>
      <b/>
      <sz val="12"/>
      <color rgb="FF000000"/>
      <name val="Calibri"/>
      <family val="2"/>
    </font>
    <font>
      <sz val="12"/>
      <color rgb="FF000000"/>
      <name val="Calibri"/>
      <family val="2"/>
    </font>
  </fonts>
  <fills count="11">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rgb="FFD8D8D8"/>
        <bgColor indexed="64"/>
      </patternFill>
    </fill>
    <fill>
      <patternFill patternType="solid">
        <fgColor indexed="22"/>
        <bgColor indexed="64"/>
      </patternFill>
    </fill>
    <fill>
      <patternFill patternType="solid">
        <fgColor indexed="9"/>
        <bgColor indexed="64"/>
      </patternFill>
    </fill>
    <fill>
      <patternFill patternType="solid">
        <fgColor theme="0" tint="-4.9989318521683403E-2"/>
        <bgColor indexed="64"/>
      </patternFill>
    </fill>
  </fills>
  <borders count="51">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thin">
        <color indexed="63"/>
      </right>
      <top style="thin">
        <color indexed="64"/>
      </top>
      <bottom/>
      <diagonal/>
    </border>
    <border>
      <left style="thin">
        <color indexed="63"/>
      </left>
      <right style="thin">
        <color indexed="63"/>
      </right>
      <top style="thin">
        <color indexed="64"/>
      </top>
      <bottom/>
      <diagonal/>
    </border>
    <border>
      <left style="thin">
        <color indexed="63"/>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43" fontId="30" fillId="0" borderId="0" applyFont="0" applyFill="0" applyBorder="0" applyAlignment="0" applyProtection="0"/>
  </cellStyleXfs>
  <cellXfs count="678">
    <xf numFmtId="0" fontId="0" fillId="0" borderId="0" xfId="0"/>
    <xf numFmtId="43" fontId="0" fillId="0" borderId="0" xfId="0" applyNumberFormat="1"/>
    <xf numFmtId="0" fontId="3" fillId="0" borderId="0" xfId="0" applyFont="1"/>
    <xf numFmtId="0" fontId="4" fillId="0" borderId="0" xfId="0" applyFont="1"/>
    <xf numFmtId="0" fontId="5" fillId="0" borderId="0" xfId="0" applyFont="1"/>
    <xf numFmtId="0" fontId="0" fillId="0" borderId="0" xfId="0" applyAlignment="1">
      <alignment horizontal="right"/>
    </xf>
    <xf numFmtId="0" fontId="2" fillId="0" borderId="0" xfId="0" applyFont="1"/>
    <xf numFmtId="0" fontId="3" fillId="4" borderId="2" xfId="0" applyFont="1" applyFill="1" applyBorder="1" applyAlignment="1">
      <alignment horizontal="center"/>
    </xf>
    <xf numFmtId="0" fontId="7" fillId="0" borderId="0" xfId="0" applyFont="1"/>
    <xf numFmtId="0" fontId="0" fillId="0" borderId="0" xfId="0" applyAlignment="1">
      <alignment wrapText="1"/>
    </xf>
    <xf numFmtId="0" fontId="9" fillId="0" borderId="0" xfId="0" applyFont="1"/>
    <xf numFmtId="0" fontId="8" fillId="0" borderId="0" xfId="0" applyFont="1"/>
    <xf numFmtId="0" fontId="0" fillId="0" borderId="0" xfId="0" applyAlignment="1">
      <alignment vertical="center"/>
    </xf>
    <xf numFmtId="0" fontId="0" fillId="0" borderId="0" xfId="0" applyAlignment="1">
      <alignment vertical="top"/>
    </xf>
    <xf numFmtId="0" fontId="0" fillId="0" borderId="0" xfId="0" applyAlignment="1">
      <alignment horizontal="justify" vertical="top"/>
    </xf>
    <xf numFmtId="0" fontId="0" fillId="0" borderId="0" xfId="0" applyAlignment="1">
      <alignment horizontal="justify" vertical="center" wrapText="1"/>
    </xf>
    <xf numFmtId="0" fontId="0" fillId="0" borderId="0" xfId="0" applyAlignment="1">
      <alignment horizontal="justify" wrapText="1"/>
    </xf>
    <xf numFmtId="0" fontId="0" fillId="0" borderId="0" xfId="0" applyAlignment="1">
      <alignment vertical="top" wrapText="1"/>
    </xf>
    <xf numFmtId="0" fontId="0" fillId="0" borderId="0" xfId="0" applyAlignment="1">
      <alignment horizontal="justify" vertical="top" wrapText="1"/>
    </xf>
    <xf numFmtId="0" fontId="10" fillId="0" borderId="0" xfId="0" applyFont="1" applyAlignment="1">
      <alignment horizontal="justify" vertical="top" wrapText="1"/>
    </xf>
    <xf numFmtId="0" fontId="0" fillId="0" borderId="0" xfId="0" applyAlignment="1">
      <alignment horizontal="justify"/>
    </xf>
    <xf numFmtId="0" fontId="0" fillId="0" borderId="0" xfId="0" applyAlignment="1">
      <alignment horizontal="left"/>
    </xf>
    <xf numFmtId="0" fontId="12" fillId="0" borderId="0" xfId="0" applyFont="1"/>
    <xf numFmtId="0" fontId="3" fillId="2" borderId="0" xfId="0" applyFont="1" applyFill="1"/>
    <xf numFmtId="0" fontId="0" fillId="0" borderId="2" xfId="0" applyBorder="1" applyAlignment="1">
      <alignment horizontal="center"/>
    </xf>
    <xf numFmtId="0" fontId="0" fillId="0" borderId="0" xfId="0" applyAlignment="1">
      <alignment vertical="center" wrapText="1"/>
    </xf>
    <xf numFmtId="0" fontId="15" fillId="0" borderId="0" xfId="0" applyFont="1" applyAlignment="1">
      <alignment horizontal="left" wrapText="1"/>
    </xf>
    <xf numFmtId="0" fontId="15" fillId="0" borderId="0" xfId="0" applyFont="1"/>
    <xf numFmtId="0" fontId="15" fillId="0" borderId="0" xfId="0" applyFont="1" applyAlignment="1">
      <alignment horizontal="center"/>
    </xf>
    <xf numFmtId="0" fontId="18" fillId="0" borderId="0" xfId="0" applyFont="1" applyAlignment="1">
      <alignment horizontal="justify"/>
    </xf>
    <xf numFmtId="0" fontId="17" fillId="0" borderId="0" xfId="0" applyFont="1"/>
    <xf numFmtId="0" fontId="18" fillId="0" borderId="0" xfId="0" applyFont="1"/>
    <xf numFmtId="2" fontId="19" fillId="0" borderId="0" xfId="0" applyNumberFormat="1" applyFont="1" applyAlignment="1">
      <alignment horizontal="center"/>
    </xf>
    <xf numFmtId="0" fontId="19" fillId="0" borderId="0" xfId="0" applyFont="1"/>
    <xf numFmtId="0" fontId="20" fillId="0" borderId="0" xfId="0" applyFont="1"/>
    <xf numFmtId="0" fontId="15" fillId="0" borderId="0" xfId="0" applyFont="1" applyAlignment="1">
      <alignment vertical="center"/>
    </xf>
    <xf numFmtId="0" fontId="15" fillId="0" borderId="15" xfId="0" applyFont="1" applyBorder="1" applyAlignment="1">
      <alignment horizontal="center" vertical="center" wrapText="1"/>
    </xf>
    <xf numFmtId="0" fontId="15" fillId="0" borderId="23" xfId="0" applyFont="1" applyBorder="1" applyAlignment="1">
      <alignment horizontal="center" vertical="center" wrapText="1"/>
    </xf>
    <xf numFmtId="1" fontId="15" fillId="0" borderId="23" xfId="0" applyNumberFormat="1" applyFont="1" applyBorder="1" applyAlignment="1" applyProtection="1">
      <alignment horizontal="center" vertical="center" wrapText="1"/>
      <protection locked="0"/>
    </xf>
    <xf numFmtId="0" fontId="15" fillId="0" borderId="22" xfId="0" applyFont="1" applyBorder="1"/>
    <xf numFmtId="0" fontId="15" fillId="0" borderId="23" xfId="0" applyFont="1" applyBorder="1"/>
    <xf numFmtId="0" fontId="15" fillId="0" borderId="28" xfId="0" applyFont="1" applyBorder="1"/>
    <xf numFmtId="0" fontId="15" fillId="0" borderId="29" xfId="0" applyFont="1" applyBorder="1"/>
    <xf numFmtId="0" fontId="15" fillId="0" borderId="30" xfId="0" applyFont="1" applyBorder="1"/>
    <xf numFmtId="0" fontId="15" fillId="0" borderId="27" xfId="0" applyFont="1" applyBorder="1" applyAlignment="1">
      <alignment horizontal="center"/>
    </xf>
    <xf numFmtId="0" fontId="15" fillId="0" borderId="27" xfId="0" applyFont="1" applyBorder="1"/>
    <xf numFmtId="0" fontId="15" fillId="0" borderId="16" xfId="0" applyFont="1" applyBorder="1"/>
    <xf numFmtId="0" fontId="21" fillId="0" borderId="0" xfId="0" applyFont="1" applyAlignment="1">
      <alignment horizontal="center" vertical="center"/>
    </xf>
    <xf numFmtId="0" fontId="21" fillId="0" borderId="0" xfId="0" applyFont="1" applyAlignment="1">
      <alignment vertical="center"/>
    </xf>
    <xf numFmtId="0" fontId="22" fillId="0" borderId="2" xfId="0" applyFont="1" applyBorder="1" applyAlignment="1">
      <alignment horizontal="center" vertical="center"/>
    </xf>
    <xf numFmtId="0" fontId="22" fillId="0" borderId="2" xfId="0" applyFont="1" applyBorder="1" applyAlignment="1">
      <alignment horizontal="center"/>
    </xf>
    <xf numFmtId="2" fontId="22" fillId="0" borderId="2" xfId="0" applyNumberFormat="1" applyFont="1" applyBorder="1" applyAlignment="1">
      <alignment horizontal="center"/>
    </xf>
    <xf numFmtId="0" fontId="22" fillId="0" borderId="22" xfId="0" applyFont="1" applyBorder="1" applyAlignment="1">
      <alignment horizontal="center" vertical="center"/>
    </xf>
    <xf numFmtId="0" fontId="22" fillId="0" borderId="23" xfId="0" applyFont="1" applyBorder="1" applyAlignment="1">
      <alignment horizontal="center" vertical="center"/>
    </xf>
    <xf numFmtId="0" fontId="22" fillId="0" borderId="15" xfId="0" applyFont="1" applyBorder="1" applyAlignment="1">
      <alignment vertical="center"/>
    </xf>
    <xf numFmtId="0" fontId="22" fillId="0" borderId="27" xfId="0" applyFont="1" applyBorder="1" applyAlignment="1">
      <alignment vertical="center"/>
    </xf>
    <xf numFmtId="164" fontId="21" fillId="0" borderId="0" xfId="0" applyNumberFormat="1" applyFont="1" applyAlignment="1">
      <alignment horizontal="center" vertical="center"/>
    </xf>
    <xf numFmtId="0" fontId="16" fillId="0" borderId="0" xfId="0" applyFont="1" applyAlignment="1">
      <alignment vertical="center"/>
    </xf>
    <xf numFmtId="0" fontId="22" fillId="0" borderId="0" xfId="0" applyFont="1" applyAlignment="1">
      <alignment horizontal="right"/>
    </xf>
    <xf numFmtId="0" fontId="22" fillId="0" borderId="0" xfId="0" applyFont="1"/>
    <xf numFmtId="0" fontId="22" fillId="0" borderId="0" xfId="0" applyFont="1" applyProtection="1">
      <protection locked="0"/>
    </xf>
    <xf numFmtId="0" fontId="22" fillId="0" borderId="0" xfId="0" applyFont="1" applyAlignment="1">
      <alignment vertical="center" wrapText="1"/>
    </xf>
    <xf numFmtId="164" fontId="22" fillId="0" borderId="0" xfId="0" applyNumberFormat="1" applyFont="1" applyAlignment="1">
      <alignment vertical="center"/>
    </xf>
    <xf numFmtId="0" fontId="22" fillId="0" borderId="0" xfId="0" applyFont="1" applyAlignment="1">
      <alignment vertical="center"/>
    </xf>
    <xf numFmtId="0" fontId="22" fillId="0" borderId="0" xfId="0" applyFont="1" applyAlignment="1" applyProtection="1">
      <alignment vertical="center"/>
      <protection locked="0"/>
    </xf>
    <xf numFmtId="0" fontId="21" fillId="0" borderId="0" xfId="0" applyFont="1" applyAlignment="1">
      <alignment horizontal="right"/>
    </xf>
    <xf numFmtId="0" fontId="21" fillId="0" borderId="0" xfId="0" applyFont="1"/>
    <xf numFmtId="0" fontId="23" fillId="0" borderId="0" xfId="0" applyFont="1" applyAlignment="1">
      <alignment vertical="center" wrapText="1"/>
    </xf>
    <xf numFmtId="2" fontId="15" fillId="0" borderId="0" xfId="0" applyNumberFormat="1" applyFont="1" applyAlignment="1">
      <alignment horizontal="center"/>
    </xf>
    <xf numFmtId="0" fontId="15" fillId="0" borderId="26" xfId="0" applyFont="1" applyBorder="1"/>
    <xf numFmtId="2" fontId="21" fillId="0" borderId="16" xfId="0" applyNumberFormat="1" applyFont="1" applyBorder="1" applyAlignment="1">
      <alignment horizontal="center" vertical="center"/>
    </xf>
    <xf numFmtId="2" fontId="21" fillId="0" borderId="20" xfId="0" applyNumberFormat="1" applyFont="1" applyBorder="1" applyAlignment="1">
      <alignment horizontal="center" vertical="center" wrapText="1"/>
    </xf>
    <xf numFmtId="2" fontId="15" fillId="0" borderId="24" xfId="0" applyNumberFormat="1" applyFont="1" applyBorder="1" applyAlignment="1">
      <alignment horizontal="center"/>
    </xf>
    <xf numFmtId="0" fontId="21" fillId="5" borderId="2" xfId="0" applyFont="1" applyFill="1" applyBorder="1" applyAlignment="1">
      <alignment horizontal="center" vertical="center" wrapText="1"/>
    </xf>
    <xf numFmtId="0" fontId="21" fillId="5" borderId="2" xfId="0" applyFont="1" applyFill="1" applyBorder="1" applyAlignment="1">
      <alignment horizontal="center" vertical="center"/>
    </xf>
    <xf numFmtId="0" fontId="24" fillId="5" borderId="2" xfId="0" applyFont="1" applyFill="1" applyBorder="1" applyAlignment="1">
      <alignment horizontal="center" vertical="center" wrapText="1"/>
    </xf>
    <xf numFmtId="2" fontId="24" fillId="5" borderId="22" xfId="0" applyNumberFormat="1" applyFont="1" applyFill="1" applyBorder="1" applyAlignment="1">
      <alignment horizontal="center" vertical="center" wrapText="1"/>
    </xf>
    <xf numFmtId="2" fontId="24" fillId="5" borderId="2" xfId="0" applyNumberFormat="1" applyFont="1" applyFill="1" applyBorder="1" applyAlignment="1">
      <alignment horizontal="center" vertical="center" wrapText="1"/>
    </xf>
    <xf numFmtId="164" fontId="24" fillId="5" borderId="22" xfId="0" applyNumberFormat="1" applyFont="1" applyFill="1" applyBorder="1" applyAlignment="1">
      <alignment horizontal="center" vertical="center" wrapText="1"/>
    </xf>
    <xf numFmtId="0" fontId="24" fillId="5" borderId="20" xfId="0" applyFont="1" applyFill="1" applyBorder="1" applyAlignment="1">
      <alignment horizontal="center" vertical="center" wrapText="1"/>
    </xf>
    <xf numFmtId="2" fontId="21" fillId="0" borderId="2" xfId="0" applyNumberFormat="1" applyFont="1" applyBorder="1" applyAlignment="1">
      <alignment horizontal="center" vertical="center"/>
    </xf>
    <xf numFmtId="0" fontId="25" fillId="0" borderId="0" xfId="0" applyFont="1"/>
    <xf numFmtId="0" fontId="26" fillId="0" borderId="0" xfId="0" applyFont="1" applyAlignment="1">
      <alignment horizontal="justify"/>
    </xf>
    <xf numFmtId="0" fontId="27" fillId="0" borderId="0" xfId="0" applyFont="1"/>
    <xf numFmtId="0" fontId="28" fillId="0" borderId="0" xfId="0" applyFont="1"/>
    <xf numFmtId="0" fontId="0" fillId="0" borderId="0" xfId="0" applyAlignment="1">
      <alignment horizontal="left" vertical="center"/>
    </xf>
    <xf numFmtId="0" fontId="15" fillId="0" borderId="0" xfId="0" applyFont="1" applyAlignment="1">
      <alignment vertical="center" wrapText="1"/>
    </xf>
    <xf numFmtId="0" fontId="22" fillId="0" borderId="24" xfId="0" applyFont="1" applyBorder="1" applyAlignment="1">
      <alignment vertical="center" wrapText="1"/>
    </xf>
    <xf numFmtId="0" fontId="22" fillId="0" borderId="0" xfId="0" applyFont="1" applyAlignment="1" applyProtection="1">
      <alignment vertical="center" wrapText="1"/>
      <protection locked="0"/>
    </xf>
    <xf numFmtId="41" fontId="22" fillId="0" borderId="0" xfId="0" applyNumberFormat="1" applyFont="1" applyAlignment="1" applyProtection="1">
      <alignment vertical="center" wrapText="1"/>
      <protection locked="0"/>
    </xf>
    <xf numFmtId="0" fontId="22" fillId="0" borderId="22" xfId="0" applyFont="1" applyBorder="1" applyAlignment="1">
      <alignment horizontal="right" vertical="center" wrapText="1"/>
    </xf>
    <xf numFmtId="3" fontId="0" fillId="0" borderId="0" xfId="0" applyNumberFormat="1"/>
    <xf numFmtId="0" fontId="15" fillId="6" borderId="10" xfId="0" applyFont="1" applyFill="1" applyBorder="1"/>
    <xf numFmtId="0" fontId="15" fillId="6" borderId="13" xfId="0" applyFont="1" applyFill="1" applyBorder="1"/>
    <xf numFmtId="2" fontId="0" fillId="6" borderId="12" xfId="0" applyNumberFormat="1" applyFill="1" applyBorder="1"/>
    <xf numFmtId="2" fontId="0" fillId="6" borderId="14" xfId="0" applyNumberFormat="1" applyFill="1" applyBorder="1"/>
    <xf numFmtId="0" fontId="14" fillId="0" borderId="0" xfId="0" applyFont="1"/>
    <xf numFmtId="0" fontId="11" fillId="0" borderId="0" xfId="0" applyFont="1"/>
    <xf numFmtId="0" fontId="0" fillId="0" borderId="0" xfId="0" applyAlignment="1">
      <alignment horizontal="left" wrapText="1"/>
    </xf>
    <xf numFmtId="0" fontId="3" fillId="2" borderId="0" xfId="0" applyFont="1" applyFill="1" applyAlignment="1">
      <alignment horizontal="left" wrapText="1"/>
    </xf>
    <xf numFmtId="0" fontId="3" fillId="0" borderId="0" xfId="0" applyFont="1" applyAlignment="1">
      <alignment wrapText="1"/>
    </xf>
    <xf numFmtId="0" fontId="3" fillId="0" borderId="14" xfId="0" applyFont="1" applyBorder="1" applyAlignment="1">
      <alignment wrapText="1"/>
    </xf>
    <xf numFmtId="14" fontId="0" fillId="0" borderId="0" xfId="0" applyNumberFormat="1" applyAlignment="1">
      <alignment horizontal="left"/>
    </xf>
    <xf numFmtId="0" fontId="0" fillId="0" borderId="2" xfId="0" applyBorder="1" applyAlignment="1">
      <alignment horizontal="center" vertical="center" wrapText="1"/>
    </xf>
    <xf numFmtId="0" fontId="33" fillId="0" borderId="0" xfId="0" applyFont="1"/>
    <xf numFmtId="0" fontId="3" fillId="0" borderId="0" xfId="0" applyFont="1" applyAlignment="1">
      <alignment horizontal="center"/>
    </xf>
    <xf numFmtId="0" fontId="3" fillId="2" borderId="0" xfId="0" applyFont="1" applyFill="1" applyAlignment="1">
      <alignment vertical="center"/>
    </xf>
    <xf numFmtId="0" fontId="29" fillId="0" borderId="0" xfId="0" applyFont="1" applyAlignment="1">
      <alignment wrapText="1"/>
    </xf>
    <xf numFmtId="0" fontId="29" fillId="0" borderId="0" xfId="0" applyFont="1" applyAlignment="1">
      <alignment vertical="center"/>
    </xf>
    <xf numFmtId="0" fontId="29" fillId="0" borderId="0" xfId="0" applyFont="1" applyAlignment="1">
      <alignment horizontal="center" vertical="center"/>
    </xf>
    <xf numFmtId="1" fontId="22" fillId="0" borderId="0" xfId="0" applyNumberFormat="1" applyFont="1" applyAlignment="1">
      <alignment horizontal="center" vertical="center"/>
    </xf>
    <xf numFmtId="0" fontId="15" fillId="0" borderId="0" xfId="0" applyFont="1" applyAlignment="1">
      <alignment vertical="top"/>
    </xf>
    <xf numFmtId="0" fontId="3" fillId="0" borderId="0" xfId="0" applyFont="1" applyAlignment="1">
      <alignment vertical="center"/>
    </xf>
    <xf numFmtId="0" fontId="0" fillId="0" borderId="2" xfId="0" applyBorder="1"/>
    <xf numFmtId="14" fontId="0" fillId="0" borderId="0" xfId="0" applyNumberFormat="1"/>
    <xf numFmtId="0" fontId="11" fillId="0" borderId="2" xfId="0" applyFont="1" applyBorder="1"/>
    <xf numFmtId="0" fontId="11" fillId="2" borderId="4" xfId="0" applyFont="1" applyFill="1" applyBorder="1" applyAlignment="1">
      <alignment vertical="center" wrapText="1"/>
    </xf>
    <xf numFmtId="0" fontId="11" fillId="2" borderId="2" xfId="0" applyFont="1" applyFill="1" applyBorder="1" applyAlignment="1">
      <alignment vertical="center" wrapText="1"/>
    </xf>
    <xf numFmtId="1" fontId="0" fillId="0" borderId="2" xfId="0" applyNumberFormat="1" applyBorder="1" applyAlignment="1">
      <alignment horizontal="center"/>
    </xf>
    <xf numFmtId="2" fontId="0" fillId="0" borderId="2" xfId="0" applyNumberFormat="1" applyBorder="1" applyAlignment="1">
      <alignment horizontal="center"/>
    </xf>
    <xf numFmtId="0" fontId="3" fillId="0" borderId="2" xfId="0" applyFont="1" applyBorder="1" applyAlignment="1">
      <alignment horizontal="center" vertical="center"/>
    </xf>
    <xf numFmtId="0" fontId="3" fillId="5" borderId="2" xfId="0" applyFont="1" applyFill="1" applyBorder="1" applyAlignment="1">
      <alignment horizontal="center" vertical="center"/>
    </xf>
    <xf numFmtId="2" fontId="11" fillId="2" borderId="4" xfId="0" applyNumberFormat="1" applyFont="1" applyFill="1" applyBorder="1" applyAlignment="1">
      <alignment horizontal="center" vertical="center"/>
    </xf>
    <xf numFmtId="2" fontId="11" fillId="2" borderId="2" xfId="0" applyNumberFormat="1" applyFont="1" applyFill="1" applyBorder="1" applyAlignment="1">
      <alignment horizontal="center" vertical="center"/>
    </xf>
    <xf numFmtId="1" fontId="3" fillId="0" borderId="2" xfId="0" applyNumberFormat="1" applyFont="1" applyBorder="1" applyAlignment="1">
      <alignment horizontal="center" vertical="center"/>
    </xf>
    <xf numFmtId="2" fontId="3" fillId="0" borderId="2" xfId="0" applyNumberFormat="1" applyFont="1" applyBorder="1" applyAlignment="1">
      <alignment horizontal="center" vertical="center"/>
    </xf>
    <xf numFmtId="2" fontId="24" fillId="0" borderId="27" xfId="0" applyNumberFormat="1" applyFont="1" applyBorder="1" applyAlignment="1">
      <alignment horizontal="center"/>
    </xf>
    <xf numFmtId="0" fontId="0" fillId="0" borderId="0" xfId="0" applyAlignment="1">
      <alignment horizontal="center"/>
    </xf>
    <xf numFmtId="0" fontId="3" fillId="5" borderId="2" xfId="0" applyFont="1" applyFill="1" applyBorder="1"/>
    <xf numFmtId="0" fontId="29" fillId="0" borderId="0" xfId="0" applyFont="1" applyAlignment="1">
      <alignment horizontal="left" indent="4"/>
    </xf>
    <xf numFmtId="0" fontId="29" fillId="0" borderId="0" xfId="0" applyFont="1"/>
    <xf numFmtId="0" fontId="37" fillId="0" borderId="0" xfId="0" applyFont="1"/>
    <xf numFmtId="0" fontId="15" fillId="0" borderId="0" xfId="0" applyFont="1" applyAlignment="1">
      <alignment horizontal="right" vertical="center"/>
    </xf>
    <xf numFmtId="0" fontId="38" fillId="0" borderId="0" xfId="0" applyFont="1" applyAlignment="1">
      <alignment horizontal="center"/>
    </xf>
    <xf numFmtId="0" fontId="40" fillId="0" borderId="0" xfId="0" applyFont="1"/>
    <xf numFmtId="0" fontId="41" fillId="0" borderId="0" xfId="0" applyFont="1"/>
    <xf numFmtId="0" fontId="37" fillId="0" borderId="0" xfId="0" applyFont="1" applyAlignment="1">
      <alignment horizontal="left" vertical="center"/>
    </xf>
    <xf numFmtId="0" fontId="15" fillId="6" borderId="11" xfId="0" applyFont="1" applyFill="1" applyBorder="1"/>
    <xf numFmtId="0" fontId="15" fillId="6" borderId="0" xfId="0" applyFont="1" applyFill="1"/>
    <xf numFmtId="0" fontId="22" fillId="0" borderId="20" xfId="0" applyFont="1" applyBorder="1" applyAlignment="1">
      <alignment horizontal="center" vertical="center"/>
    </xf>
    <xf numFmtId="0" fontId="22" fillId="0" borderId="24" xfId="0" applyFont="1" applyBorder="1" applyAlignment="1">
      <alignment vertical="center"/>
    </xf>
    <xf numFmtId="0" fontId="22" fillId="0" borderId="16" xfId="0" applyFont="1" applyBorder="1" applyAlignment="1">
      <alignment vertical="center"/>
    </xf>
    <xf numFmtId="166" fontId="0" fillId="0" borderId="0" xfId="0" applyNumberFormat="1"/>
    <xf numFmtId="0" fontId="21" fillId="0" borderId="0" xfId="0" applyFont="1" applyAlignment="1" applyProtection="1">
      <alignment vertical="center"/>
      <protection locked="0"/>
    </xf>
    <xf numFmtId="0" fontId="43" fillId="0" borderId="2" xfId="0" applyFont="1" applyBorder="1" applyAlignment="1">
      <alignment horizontal="center" vertical="center" wrapText="1"/>
    </xf>
    <xf numFmtId="0" fontId="34" fillId="7" borderId="2" xfId="0" applyFont="1" applyFill="1" applyBorder="1" applyAlignment="1">
      <alignment horizontal="center" vertical="center" wrapText="1"/>
    </xf>
    <xf numFmtId="0" fontId="34" fillId="7" borderId="3" xfId="0" applyFont="1" applyFill="1" applyBorder="1" applyAlignment="1">
      <alignment vertical="center" wrapText="1"/>
    </xf>
    <xf numFmtId="0" fontId="43" fillId="0" borderId="1" xfId="0" applyFont="1" applyBorder="1" applyAlignment="1">
      <alignment horizontal="center" vertical="center" wrapText="1"/>
    </xf>
    <xf numFmtId="0" fontId="43" fillId="0" borderId="3" xfId="0" applyFont="1" applyBorder="1" applyAlignment="1">
      <alignment horizontal="center" vertical="center" wrapText="1"/>
    </xf>
    <xf numFmtId="0" fontId="34" fillId="0" borderId="5" xfId="0" applyFont="1" applyBorder="1" applyAlignment="1">
      <alignment horizontal="center" vertical="center" wrapText="1"/>
    </xf>
    <xf numFmtId="0" fontId="34" fillId="0" borderId="6" xfId="0" applyFont="1" applyBorder="1" applyAlignment="1">
      <alignment horizontal="center" vertical="center"/>
    </xf>
    <xf numFmtId="3" fontId="34" fillId="0" borderId="33" xfId="0" applyNumberFormat="1" applyFont="1" applyBorder="1" applyAlignment="1">
      <alignment horizontal="center" vertical="center" wrapText="1"/>
    </xf>
    <xf numFmtId="0" fontId="44" fillId="8" borderId="2" xfId="0" applyFont="1" applyFill="1" applyBorder="1"/>
    <xf numFmtId="0" fontId="0" fillId="0" borderId="1" xfId="0" applyBorder="1" applyAlignment="1">
      <alignment vertical="center"/>
    </xf>
    <xf numFmtId="0" fontId="0" fillId="0" borderId="2" xfId="0" applyBorder="1" applyAlignment="1">
      <alignment vertical="center"/>
    </xf>
    <xf numFmtId="2" fontId="0" fillId="0" borderId="2" xfId="0" applyNumberFormat="1" applyBorder="1" applyAlignment="1">
      <alignment vertical="center"/>
    </xf>
    <xf numFmtId="4" fontId="0" fillId="0" borderId="2" xfId="0" applyNumberFormat="1" applyBorder="1" applyAlignment="1">
      <alignment vertical="center"/>
    </xf>
    <xf numFmtId="4" fontId="0" fillId="0" borderId="3" xfId="0" applyNumberFormat="1" applyBorder="1" applyAlignment="1">
      <alignment vertical="center"/>
    </xf>
    <xf numFmtId="0" fontId="0" fillId="0" borderId="28" xfId="0" applyBorder="1" applyAlignment="1">
      <alignment vertical="center"/>
    </xf>
    <xf numFmtId="2" fontId="0" fillId="0" borderId="20" xfId="0" applyNumberFormat="1" applyBorder="1" applyAlignment="1">
      <alignment vertical="center"/>
    </xf>
    <xf numFmtId="0" fontId="3" fillId="0" borderId="31" xfId="0" applyFont="1" applyBorder="1" applyAlignment="1">
      <alignment vertical="center"/>
    </xf>
    <xf numFmtId="0" fontId="3" fillId="0" borderId="29" xfId="0" applyFont="1" applyBorder="1" applyAlignment="1">
      <alignment vertical="center"/>
    </xf>
    <xf numFmtId="2" fontId="3" fillId="0" borderId="30" xfId="0" applyNumberFormat="1" applyFont="1" applyBorder="1" applyAlignment="1">
      <alignment vertical="center"/>
    </xf>
    <xf numFmtId="4" fontId="3" fillId="0" borderId="20" xfId="0" applyNumberFormat="1" applyFont="1" applyBorder="1" applyAlignment="1">
      <alignment vertical="center"/>
    </xf>
    <xf numFmtId="2" fontId="3" fillId="0" borderId="28" xfId="0" applyNumberFormat="1" applyFont="1" applyBorder="1" applyAlignment="1">
      <alignment vertical="center"/>
    </xf>
    <xf numFmtId="4" fontId="3" fillId="0" borderId="41" xfId="0" applyNumberFormat="1" applyFont="1" applyBorder="1" applyAlignment="1">
      <alignment vertical="center"/>
    </xf>
    <xf numFmtId="0" fontId="0" fillId="0" borderId="31" xfId="0" applyBorder="1" applyAlignment="1">
      <alignment vertical="center"/>
    </xf>
    <xf numFmtId="0" fontId="0" fillId="0" borderId="29" xfId="0" applyBorder="1" applyAlignment="1">
      <alignment vertical="center"/>
    </xf>
    <xf numFmtId="2" fontId="0" fillId="0" borderId="30" xfId="0" applyNumberFormat="1" applyBorder="1" applyAlignment="1">
      <alignment vertical="center"/>
    </xf>
    <xf numFmtId="4" fontId="0" fillId="0" borderId="20" xfId="0" applyNumberFormat="1" applyBorder="1" applyAlignment="1">
      <alignment vertical="center"/>
    </xf>
    <xf numFmtId="2" fontId="0" fillId="0" borderId="28" xfId="0" applyNumberFormat="1" applyBorder="1" applyAlignment="1">
      <alignment vertical="center"/>
    </xf>
    <xf numFmtId="4" fontId="0" fillId="0" borderId="41" xfId="0" applyNumberFormat="1" applyBorder="1" applyAlignment="1">
      <alignment vertical="center"/>
    </xf>
    <xf numFmtId="0" fontId="0" fillId="0" borderId="23" xfId="0" applyBorder="1" applyAlignment="1">
      <alignment vertical="center"/>
    </xf>
    <xf numFmtId="2" fontId="0" fillId="0" borderId="24" xfId="0" applyNumberFormat="1" applyBorder="1" applyAlignment="1">
      <alignment vertical="center"/>
    </xf>
    <xf numFmtId="2" fontId="0" fillId="0" borderId="42" xfId="0" applyNumberFormat="1" applyBorder="1" applyAlignment="1">
      <alignment vertical="center"/>
    </xf>
    <xf numFmtId="43" fontId="44" fillId="0" borderId="6" xfId="2" applyFont="1" applyBorder="1" applyAlignment="1">
      <alignment horizontal="right" vertical="center"/>
    </xf>
    <xf numFmtId="0" fontId="0" fillId="0" borderId="43" xfId="0" applyBorder="1" applyAlignment="1">
      <alignment vertical="center"/>
    </xf>
    <xf numFmtId="0" fontId="0" fillId="0" borderId="42" xfId="0" applyBorder="1" applyAlignment="1">
      <alignment vertical="center"/>
    </xf>
    <xf numFmtId="4" fontId="44" fillId="0" borderId="6" xfId="2" applyNumberFormat="1" applyFont="1" applyBorder="1" applyAlignment="1">
      <alignment horizontal="right" vertical="center"/>
    </xf>
    <xf numFmtId="4" fontId="44" fillId="0" borderId="33" xfId="2" applyNumberFormat="1" applyFont="1" applyBorder="1" applyAlignment="1">
      <alignment horizontal="right" vertical="center"/>
    </xf>
    <xf numFmtId="0" fontId="44" fillId="8" borderId="10" xfId="0" applyFont="1" applyFill="1" applyBorder="1" applyAlignment="1">
      <alignment vertical="center"/>
    </xf>
    <xf numFmtId="0" fontId="44" fillId="8" borderId="11" xfId="0" applyFont="1" applyFill="1" applyBorder="1"/>
    <xf numFmtId="43" fontId="44" fillId="8" borderId="0" xfId="0" applyNumberFormat="1" applyFont="1" applyFill="1"/>
    <xf numFmtId="0" fontId="44" fillId="8" borderId="18" xfId="0" applyFont="1" applyFill="1" applyBorder="1" applyAlignment="1">
      <alignment vertical="center"/>
    </xf>
    <xf numFmtId="0" fontId="44" fillId="8" borderId="19" xfId="0" applyFont="1" applyFill="1" applyBorder="1"/>
    <xf numFmtId="43" fontId="0" fillId="0" borderId="0" xfId="1" applyFont="1"/>
    <xf numFmtId="0" fontId="3" fillId="2" borderId="27" xfId="0" applyFont="1" applyFill="1" applyBorder="1" applyAlignment="1">
      <alignment vertical="center"/>
    </xf>
    <xf numFmtId="0" fontId="3" fillId="0" borderId="27" xfId="0" applyFont="1" applyBorder="1"/>
    <xf numFmtId="0" fontId="15" fillId="0" borderId="0" xfId="0" applyFont="1" applyAlignment="1">
      <alignment horizontal="left" vertical="center" wrapText="1"/>
    </xf>
    <xf numFmtId="0" fontId="0" fillId="0" borderId="27" xfId="0" applyBorder="1"/>
    <xf numFmtId="0" fontId="34" fillId="7" borderId="1" xfId="0" applyFont="1" applyFill="1" applyBorder="1" applyAlignment="1">
      <alignment horizontal="center" vertical="center" wrapText="1"/>
    </xf>
    <xf numFmtId="0" fontId="21" fillId="0" borderId="0" xfId="0" applyFont="1" applyAlignment="1" applyProtection="1">
      <alignment vertical="center" wrapText="1"/>
      <protection locked="0"/>
    </xf>
    <xf numFmtId="0" fontId="35" fillId="0" borderId="38" xfId="0" applyFont="1" applyBorder="1" applyAlignment="1">
      <alignment vertical="center" wrapText="1"/>
    </xf>
    <xf numFmtId="0" fontId="35" fillId="0" borderId="29" xfId="0" applyFont="1" applyBorder="1" applyAlignment="1">
      <alignment vertical="center" wrapText="1"/>
    </xf>
    <xf numFmtId="0" fontId="35" fillId="0" borderId="46" xfId="0" applyFont="1" applyBorder="1" applyAlignment="1">
      <alignment vertical="center" wrapText="1"/>
    </xf>
    <xf numFmtId="0" fontId="35" fillId="0" borderId="39" xfId="0" applyFont="1" applyBorder="1" applyAlignment="1">
      <alignment vertical="center" wrapText="1"/>
    </xf>
    <xf numFmtId="0" fontId="35" fillId="0" borderId="27" xfId="0" applyFont="1" applyBorder="1" applyAlignment="1">
      <alignment vertical="center" wrapText="1"/>
    </xf>
    <xf numFmtId="0" fontId="34" fillId="7" borderId="45" xfId="0" applyFont="1" applyFill="1" applyBorder="1" applyAlignment="1">
      <alignment horizontal="center" vertical="center" wrapText="1"/>
    </xf>
    <xf numFmtId="0" fontId="34" fillId="7" borderId="2" xfId="0" applyFont="1" applyFill="1" applyBorder="1" applyAlignment="1">
      <alignment vertical="center" wrapText="1"/>
    </xf>
    <xf numFmtId="0" fontId="3" fillId="0" borderId="28" xfId="0" applyFont="1" applyBorder="1"/>
    <xf numFmtId="0" fontId="3" fillId="0" borderId="29" xfId="0" applyFont="1" applyBorder="1"/>
    <xf numFmtId="0" fontId="44" fillId="8" borderId="0" xfId="0" applyFont="1" applyFill="1" applyAlignment="1">
      <alignment horizontal="right"/>
    </xf>
    <xf numFmtId="0" fontId="44" fillId="8" borderId="19" xfId="0" applyFont="1" applyFill="1" applyBorder="1" applyAlignment="1">
      <alignment horizontal="right"/>
    </xf>
    <xf numFmtId="0" fontId="44" fillId="8" borderId="38" xfId="0" applyFont="1" applyFill="1" applyBorder="1" applyAlignment="1">
      <alignment vertical="center"/>
    </xf>
    <xf numFmtId="0" fontId="44" fillId="8" borderId="29" xfId="0" applyFont="1" applyFill="1" applyBorder="1"/>
    <xf numFmtId="43" fontId="44" fillId="8" borderId="41" xfId="0" applyNumberFormat="1" applyFont="1" applyFill="1" applyBorder="1"/>
    <xf numFmtId="43" fontId="44" fillId="8" borderId="33" xfId="1" applyFont="1" applyFill="1" applyBorder="1"/>
    <xf numFmtId="43" fontId="44" fillId="8" borderId="47" xfId="0" applyNumberFormat="1" applyFont="1" applyFill="1" applyBorder="1" applyAlignment="1">
      <alignment vertical="center"/>
    </xf>
    <xf numFmtId="43" fontId="44" fillId="8" borderId="17" xfId="0" applyNumberFormat="1" applyFont="1" applyFill="1" applyBorder="1"/>
    <xf numFmtId="0" fontId="48" fillId="9" borderId="0" xfId="0" applyFont="1" applyFill="1" applyAlignment="1">
      <alignment horizontal="center"/>
    </xf>
    <xf numFmtId="0" fontId="49" fillId="9" borderId="23" xfId="0" applyFont="1" applyFill="1" applyBorder="1"/>
    <xf numFmtId="0" fontId="49" fillId="9" borderId="0" xfId="0" applyFont="1" applyFill="1"/>
    <xf numFmtId="0" fontId="48" fillId="9" borderId="0" xfId="0" applyFont="1" applyFill="1"/>
    <xf numFmtId="0" fontId="49" fillId="9" borderId="27" xfId="0" applyFont="1" applyFill="1" applyBorder="1"/>
    <xf numFmtId="0" fontId="50" fillId="9" borderId="0" xfId="0" applyFont="1" applyFill="1" applyAlignment="1">
      <alignment horizontal="center"/>
    </xf>
    <xf numFmtId="0" fontId="48" fillId="9" borderId="0" xfId="0" applyFont="1" applyFill="1" applyAlignment="1">
      <alignment horizontal="right"/>
    </xf>
    <xf numFmtId="0" fontId="49" fillId="9" borderId="0" xfId="0" applyFont="1" applyFill="1" applyAlignment="1">
      <alignment horizontal="center"/>
    </xf>
    <xf numFmtId="0" fontId="49" fillId="9" borderId="0" xfId="0" applyFont="1" applyFill="1" applyAlignment="1">
      <alignment horizontal="left" vertical="top" wrapText="1"/>
    </xf>
    <xf numFmtId="165" fontId="51" fillId="0" borderId="0" xfId="1" applyNumberFormat="1" applyFont="1" applyBorder="1" applyAlignment="1">
      <alignment horizontal="center" vertical="center"/>
    </xf>
    <xf numFmtId="0" fontId="50" fillId="9" borderId="0" xfId="0" applyFont="1" applyFill="1"/>
    <xf numFmtId="3" fontId="51" fillId="0" borderId="0" xfId="0" applyNumberFormat="1" applyFont="1" applyAlignment="1">
      <alignment horizontal="left"/>
    </xf>
    <xf numFmtId="0" fontId="49" fillId="9" borderId="0" xfId="0" applyFont="1" applyFill="1" applyAlignment="1">
      <alignment horizontal="right"/>
    </xf>
    <xf numFmtId="0" fontId="49" fillId="9" borderId="0" xfId="0" applyFont="1" applyFill="1" applyAlignment="1">
      <alignment horizontal="left"/>
    </xf>
    <xf numFmtId="0" fontId="49" fillId="9" borderId="14" xfId="0" applyFont="1" applyFill="1" applyBorder="1" applyAlignment="1">
      <alignment horizontal="left"/>
    </xf>
    <xf numFmtId="0" fontId="48" fillId="9" borderId="22" xfId="0" applyFont="1" applyFill="1" applyBorder="1" applyAlignment="1">
      <alignment horizontal="right"/>
    </xf>
    <xf numFmtId="0" fontId="49" fillId="9" borderId="22" xfId="0" applyFont="1" applyFill="1" applyBorder="1" applyAlignment="1">
      <alignment horizontal="right"/>
    </xf>
    <xf numFmtId="0" fontId="49" fillId="0" borderId="24" xfId="0" applyFont="1" applyBorder="1"/>
    <xf numFmtId="0" fontId="49" fillId="0" borderId="23" xfId="0" applyFont="1" applyBorder="1"/>
    <xf numFmtId="0" fontId="48" fillId="0" borderId="24" xfId="0" applyFont="1" applyBorder="1"/>
    <xf numFmtId="0" fontId="48" fillId="9" borderId="27" xfId="0" applyFont="1" applyFill="1" applyBorder="1"/>
    <xf numFmtId="0" fontId="49" fillId="9" borderId="16" xfId="0" applyFont="1" applyFill="1" applyBorder="1"/>
    <xf numFmtId="0" fontId="48" fillId="9" borderId="24" xfId="0" applyFont="1" applyFill="1" applyBorder="1"/>
    <xf numFmtId="0" fontId="49" fillId="9" borderId="24" xfId="0" applyFont="1" applyFill="1" applyBorder="1"/>
    <xf numFmtId="0" fontId="48" fillId="9" borderId="23" xfId="0" applyFont="1" applyFill="1" applyBorder="1"/>
    <xf numFmtId="0" fontId="48" fillId="0" borderId="16" xfId="0" applyFont="1" applyBorder="1"/>
    <xf numFmtId="0" fontId="48" fillId="0" borderId="15" xfId="0" applyFont="1" applyBorder="1" applyAlignment="1">
      <alignment horizontal="right"/>
    </xf>
    <xf numFmtId="0" fontId="49" fillId="0" borderId="16" xfId="0" applyFont="1" applyBorder="1"/>
    <xf numFmtId="0" fontId="48" fillId="0" borderId="0" xfId="0" applyFont="1" applyAlignment="1">
      <alignment horizontal="right"/>
    </xf>
    <xf numFmtId="0" fontId="49" fillId="0" borderId="0" xfId="0" applyFont="1"/>
    <xf numFmtId="2" fontId="49" fillId="0" borderId="0" xfId="0" applyNumberFormat="1" applyFont="1" applyAlignment="1">
      <alignment horizontal="left"/>
    </xf>
    <xf numFmtId="43" fontId="48" fillId="0" borderId="0" xfId="0" applyNumberFormat="1" applyFont="1" applyAlignment="1">
      <alignment horizontal="left"/>
    </xf>
    <xf numFmtId="43" fontId="52" fillId="0" borderId="0" xfId="1" applyFont="1" applyFill="1" applyBorder="1" applyAlignment="1">
      <alignment horizontal="left"/>
    </xf>
    <xf numFmtId="0" fontId="48" fillId="0" borderId="0" xfId="0" applyFont="1" applyAlignment="1">
      <alignment horizontal="left"/>
    </xf>
    <xf numFmtId="2" fontId="49" fillId="0" borderId="23" xfId="0" applyNumberFormat="1" applyFont="1" applyBorder="1" applyAlignment="1">
      <alignment horizontal="right"/>
    </xf>
    <xf numFmtId="0" fontId="49" fillId="0" borderId="23" xfId="0" applyFont="1" applyBorder="1" applyAlignment="1">
      <alignment horizontal="right"/>
    </xf>
    <xf numFmtId="0" fontId="49" fillId="0" borderId="23" xfId="0" applyFont="1" applyBorder="1" applyAlignment="1">
      <alignment horizontal="left"/>
    </xf>
    <xf numFmtId="0" fontId="53" fillId="9" borderId="0" xfId="0" applyFont="1" applyFill="1"/>
    <xf numFmtId="0" fontId="54" fillId="0" borderId="0" xfId="0" applyFont="1"/>
    <xf numFmtId="0" fontId="48" fillId="0" borderId="0" xfId="0" applyFont="1"/>
    <xf numFmtId="0" fontId="55" fillId="9" borderId="0" xfId="0" applyFont="1" applyFill="1"/>
    <xf numFmtId="0" fontId="49" fillId="9" borderId="22" xfId="0" applyFont="1" applyFill="1" applyBorder="1" applyAlignment="1">
      <alignment horizontal="left"/>
    </xf>
    <xf numFmtId="43" fontId="52" fillId="0" borderId="0" xfId="1" applyFont="1" applyFill="1" applyBorder="1" applyAlignment="1">
      <alignment horizontal="right"/>
    </xf>
    <xf numFmtId="43" fontId="48" fillId="0" borderId="0" xfId="1" applyFont="1" applyFill="1" applyBorder="1" applyAlignment="1">
      <alignment horizontal="left"/>
    </xf>
    <xf numFmtId="2" fontId="49" fillId="0" borderId="27" xfId="0" applyNumberFormat="1" applyFont="1" applyBorder="1" applyAlignment="1">
      <alignment horizontal="left"/>
    </xf>
    <xf numFmtId="0" fontId="49" fillId="0" borderId="27" xfId="0" applyFont="1" applyBorder="1" applyAlignment="1">
      <alignment horizontal="left"/>
    </xf>
    <xf numFmtId="43" fontId="49" fillId="0" borderId="23" xfId="0" quotePrefix="1" applyNumberFormat="1" applyFont="1" applyBorder="1" applyAlignment="1">
      <alignment horizontal="right"/>
    </xf>
    <xf numFmtId="0" fontId="48" fillId="9" borderId="23" xfId="0" applyFont="1" applyFill="1" applyBorder="1" applyAlignment="1">
      <alignment horizontal="right"/>
    </xf>
    <xf numFmtId="0" fontId="48" fillId="9" borderId="23" xfId="0" applyFont="1" applyFill="1" applyBorder="1" applyAlignment="1">
      <alignment horizontal="left"/>
    </xf>
    <xf numFmtId="2" fontId="21" fillId="0" borderId="0" xfId="0" applyNumberFormat="1" applyFont="1" applyAlignment="1">
      <alignment horizontal="center" vertical="center"/>
    </xf>
    <xf numFmtId="43" fontId="11" fillId="2" borderId="2" xfId="1" applyFont="1" applyFill="1" applyBorder="1" applyAlignment="1">
      <alignment vertical="center"/>
    </xf>
    <xf numFmtId="0" fontId="0" fillId="0" borderId="2" xfId="0" applyBorder="1" applyAlignment="1">
      <alignment horizontal="left" vertical="center" wrapText="1"/>
    </xf>
    <xf numFmtId="43" fontId="0" fillId="0" borderId="0" xfId="1" applyFont="1" applyFill="1" applyBorder="1" applyAlignment="1"/>
    <xf numFmtId="2" fontId="3" fillId="0" borderId="0" xfId="0" applyNumberFormat="1" applyFont="1"/>
    <xf numFmtId="2" fontId="0" fillId="0" borderId="0" xfId="0" applyNumberFormat="1"/>
    <xf numFmtId="0" fontId="49" fillId="9" borderId="48" xfId="0" applyFont="1" applyFill="1" applyBorder="1" applyAlignment="1">
      <alignment horizontal="center"/>
    </xf>
    <xf numFmtId="0" fontId="49" fillId="9" borderId="49" xfId="0" applyFont="1" applyFill="1" applyBorder="1" applyAlignment="1">
      <alignment horizontal="center"/>
    </xf>
    <xf numFmtId="0" fontId="0" fillId="0" borderId="25" xfId="0" applyBorder="1"/>
    <xf numFmtId="0" fontId="0" fillId="0" borderId="26" xfId="0" applyBorder="1"/>
    <xf numFmtId="0" fontId="0" fillId="0" borderId="25" xfId="0" applyBorder="1" applyAlignment="1">
      <alignment vertical="center"/>
    </xf>
    <xf numFmtId="0" fontId="3" fillId="2" borderId="25" xfId="0" applyFont="1" applyFill="1" applyBorder="1"/>
    <xf numFmtId="0" fontId="3" fillId="2" borderId="26" xfId="0" applyFont="1" applyFill="1" applyBorder="1"/>
    <xf numFmtId="0" fontId="11" fillId="2" borderId="4" xfId="0" applyFont="1" applyFill="1" applyBorder="1" applyAlignment="1">
      <alignment vertical="center"/>
    </xf>
    <xf numFmtId="0" fontId="0" fillId="0" borderId="4" xfId="0" applyBorder="1" applyAlignment="1">
      <alignment horizontal="left" vertical="center" wrapText="1"/>
    </xf>
    <xf numFmtId="0" fontId="11" fillId="2" borderId="2" xfId="0" applyFont="1" applyFill="1" applyBorder="1" applyAlignment="1">
      <alignment vertical="center"/>
    </xf>
    <xf numFmtId="0" fontId="11" fillId="2" borderId="2" xfId="0" applyFont="1" applyFill="1" applyBorder="1" applyAlignment="1">
      <alignment wrapText="1"/>
    </xf>
    <xf numFmtId="0" fontId="3" fillId="0" borderId="25" xfId="0" applyFont="1" applyBorder="1" applyAlignment="1">
      <alignment vertical="center"/>
    </xf>
    <xf numFmtId="0" fontId="0" fillId="0" borderId="0" xfId="0" applyAlignment="1">
      <alignment horizontal="right" vertical="center"/>
    </xf>
    <xf numFmtId="15" fontId="0" fillId="0" borderId="26" xfId="0" applyNumberFormat="1" applyBorder="1" applyAlignment="1">
      <alignment horizontal="center" vertical="center"/>
    </xf>
    <xf numFmtId="43" fontId="11" fillId="2" borderId="4" xfId="1" applyFont="1" applyFill="1" applyBorder="1" applyAlignment="1">
      <alignment vertical="center"/>
    </xf>
    <xf numFmtId="0" fontId="14" fillId="3" borderId="2" xfId="0" applyFont="1" applyFill="1" applyBorder="1"/>
    <xf numFmtId="0" fontId="14" fillId="3" borderId="2" xfId="0" applyFont="1" applyFill="1" applyBorder="1" applyAlignment="1">
      <alignment wrapText="1"/>
    </xf>
    <xf numFmtId="0" fontId="11" fillId="2" borderId="20" xfId="0" applyFont="1" applyFill="1" applyBorder="1"/>
    <xf numFmtId="0" fontId="0" fillId="0" borderId="30" xfId="0" applyBorder="1" applyAlignment="1">
      <alignment wrapText="1"/>
    </xf>
    <xf numFmtId="0" fontId="11" fillId="2" borderId="28" xfId="0" applyFont="1" applyFill="1" applyBorder="1"/>
    <xf numFmtId="43" fontId="14" fillId="2" borderId="29" xfId="1" applyFont="1" applyFill="1" applyBorder="1"/>
    <xf numFmtId="0" fontId="0" fillId="2" borderId="30" xfId="0" applyFill="1" applyBorder="1" applyAlignment="1">
      <alignment wrapText="1"/>
    </xf>
    <xf numFmtId="0" fontId="3" fillId="5" borderId="22" xfId="0" applyFont="1" applyFill="1" applyBorder="1" applyAlignment="1">
      <alignment horizontal="center" vertical="center"/>
    </xf>
    <xf numFmtId="0" fontId="3" fillId="5" borderId="24" xfId="0" applyFont="1" applyFill="1" applyBorder="1" applyAlignment="1">
      <alignment horizontal="center" vertical="center"/>
    </xf>
    <xf numFmtId="0" fontId="0" fillId="0" borderId="2" xfId="0" applyBorder="1" applyAlignment="1">
      <alignment horizontal="left"/>
    </xf>
    <xf numFmtId="0" fontId="3" fillId="5" borderId="23" xfId="0" applyFont="1" applyFill="1" applyBorder="1" applyAlignment="1">
      <alignment horizontal="center" vertical="center"/>
    </xf>
    <xf numFmtId="0" fontId="48" fillId="9" borderId="0" xfId="0" applyFont="1" applyFill="1" applyAlignment="1">
      <alignment horizontal="left"/>
    </xf>
    <xf numFmtId="0" fontId="48" fillId="0" borderId="23" xfId="0" applyFont="1" applyBorder="1"/>
    <xf numFmtId="0" fontId="0" fillId="0" borderId="23" xfId="0" applyBorder="1"/>
    <xf numFmtId="0" fontId="3" fillId="0" borderId="26" xfId="0" applyFont="1" applyBorder="1"/>
    <xf numFmtId="0" fontId="31" fillId="2" borderId="28" xfId="0" applyFont="1" applyFill="1" applyBorder="1"/>
    <xf numFmtId="0" fontId="31" fillId="2" borderId="29" xfId="0" applyFont="1" applyFill="1" applyBorder="1"/>
    <xf numFmtId="0" fontId="3" fillId="2" borderId="29" xfId="0" applyFont="1" applyFill="1" applyBorder="1"/>
    <xf numFmtId="0" fontId="3" fillId="2" borderId="30" xfId="0" applyFont="1" applyFill="1" applyBorder="1"/>
    <xf numFmtId="0" fontId="3" fillId="2" borderId="15" xfId="0" applyFont="1" applyFill="1" applyBorder="1" applyAlignment="1">
      <alignment horizontal="left" wrapText="1"/>
    </xf>
    <xf numFmtId="0" fontId="3" fillId="2" borderId="27" xfId="0" applyFont="1" applyFill="1" applyBorder="1" applyAlignment="1">
      <alignment horizontal="left" wrapText="1"/>
    </xf>
    <xf numFmtId="0" fontId="3" fillId="2" borderId="27" xfId="0" applyFont="1" applyFill="1" applyBorder="1" applyAlignment="1">
      <alignment horizontal="center" wrapText="1"/>
    </xf>
    <xf numFmtId="0" fontId="3" fillId="2" borderId="27" xfId="0" applyFont="1" applyFill="1" applyBorder="1"/>
    <xf numFmtId="0" fontId="3" fillId="2" borderId="16" xfId="0" applyFont="1" applyFill="1" applyBorder="1"/>
    <xf numFmtId="0" fontId="33" fillId="0" borderId="29" xfId="0" applyFont="1" applyBorder="1"/>
    <xf numFmtId="0" fontId="33" fillId="0" borderId="30" xfId="0" applyFont="1" applyBorder="1"/>
    <xf numFmtId="0" fontId="32" fillId="2" borderId="25" xfId="0" applyFont="1" applyFill="1" applyBorder="1"/>
    <xf numFmtId="0" fontId="33" fillId="0" borderId="26" xfId="0" applyFont="1" applyBorder="1"/>
    <xf numFmtId="0" fontId="3" fillId="2" borderId="15" xfId="0" applyFont="1" applyFill="1" applyBorder="1"/>
    <xf numFmtId="0" fontId="3" fillId="0" borderId="16" xfId="0" applyFont="1" applyBorder="1"/>
    <xf numFmtId="0" fontId="13" fillId="0" borderId="22" xfId="0" applyFont="1" applyBorder="1"/>
    <xf numFmtId="0" fontId="13" fillId="0" borderId="23" xfId="0" applyFont="1" applyBorder="1"/>
    <xf numFmtId="0" fontId="0" fillId="0" borderId="24" xfId="0" applyBorder="1"/>
    <xf numFmtId="0" fontId="3" fillId="2" borderId="25" xfId="0" applyFont="1" applyFill="1" applyBorder="1" applyAlignment="1">
      <alignment horizontal="left" wrapText="1"/>
    </xf>
    <xf numFmtId="0" fontId="3" fillId="0" borderId="25" xfId="0" applyFont="1" applyBorder="1"/>
    <xf numFmtId="43" fontId="0" fillId="0" borderId="26" xfId="1" applyFont="1" applyFill="1" applyBorder="1" applyAlignment="1"/>
    <xf numFmtId="0" fontId="48" fillId="9" borderId="25" xfId="0" applyFont="1" applyFill="1" applyBorder="1" applyAlignment="1">
      <alignment horizontal="left"/>
    </xf>
    <xf numFmtId="0" fontId="48" fillId="9" borderId="25" xfId="0" applyFont="1" applyFill="1" applyBorder="1"/>
    <xf numFmtId="0" fontId="49" fillId="9" borderId="26" xfId="0" applyFont="1" applyFill="1" applyBorder="1"/>
    <xf numFmtId="0" fontId="48" fillId="9" borderId="25" xfId="0" applyFont="1" applyFill="1" applyBorder="1" applyAlignment="1">
      <alignment horizontal="left" vertical="center"/>
    </xf>
    <xf numFmtId="0" fontId="48" fillId="9" borderId="25" xfId="0" applyFont="1" applyFill="1" applyBorder="1" applyAlignment="1">
      <alignment horizontal="left" indent="4"/>
    </xf>
    <xf numFmtId="0" fontId="49" fillId="9" borderId="25" xfId="0" applyFont="1" applyFill="1" applyBorder="1"/>
    <xf numFmtId="0" fontId="48" fillId="9" borderId="26" xfId="0" applyFont="1" applyFill="1" applyBorder="1"/>
    <xf numFmtId="0" fontId="49" fillId="9" borderId="50" xfId="0" applyFont="1" applyFill="1" applyBorder="1" applyAlignment="1">
      <alignment horizontal="center"/>
    </xf>
    <xf numFmtId="0" fontId="48" fillId="9" borderId="25" xfId="0" applyFont="1" applyFill="1" applyBorder="1" applyAlignment="1">
      <alignment horizontal="left" indent="8"/>
    </xf>
    <xf numFmtId="0" fontId="49" fillId="9" borderId="25" xfId="0" applyFont="1" applyFill="1" applyBorder="1" applyAlignment="1">
      <alignment horizontal="left"/>
    </xf>
    <xf numFmtId="0" fontId="48" fillId="9" borderId="22" xfId="0" applyFont="1" applyFill="1" applyBorder="1" applyAlignment="1">
      <alignment horizontal="left"/>
    </xf>
    <xf numFmtId="0" fontId="48" fillId="9" borderId="28" xfId="0" applyFont="1" applyFill="1" applyBorder="1" applyAlignment="1">
      <alignment horizontal="left"/>
    </xf>
    <xf numFmtId="0" fontId="48" fillId="9" borderId="22" xfId="0" applyFont="1" applyFill="1" applyBorder="1" applyAlignment="1">
      <alignment horizontal="left" vertical="center"/>
    </xf>
    <xf numFmtId="0" fontId="48" fillId="0" borderId="22" xfId="0" applyFont="1" applyBorder="1" applyAlignment="1">
      <alignment horizontal="left" vertical="center"/>
    </xf>
    <xf numFmtId="0" fontId="48" fillId="0" borderId="15" xfId="0" applyFont="1" applyBorder="1" applyAlignment="1">
      <alignment horizontal="left"/>
    </xf>
    <xf numFmtId="0" fontId="48" fillId="0" borderId="25" xfId="0" applyFont="1" applyBorder="1" applyAlignment="1">
      <alignment horizontal="left"/>
    </xf>
    <xf numFmtId="0" fontId="48" fillId="0" borderId="25" xfId="0" applyFont="1" applyBorder="1"/>
    <xf numFmtId="0" fontId="48" fillId="0" borderId="26" xfId="0" applyFont="1" applyBorder="1" applyAlignment="1">
      <alignment horizontal="left"/>
    </xf>
    <xf numFmtId="0" fontId="48" fillId="0" borderId="15" xfId="0" applyFont="1" applyBorder="1"/>
    <xf numFmtId="0" fontId="48" fillId="0" borderId="22" xfId="0" applyFont="1" applyBorder="1"/>
    <xf numFmtId="0" fontId="48" fillId="9" borderId="22" xfId="0" applyFont="1" applyFill="1" applyBorder="1"/>
    <xf numFmtId="0" fontId="49" fillId="0" borderId="25" xfId="0" applyFont="1" applyBorder="1" applyAlignment="1">
      <alignment horizontal="left"/>
    </xf>
    <xf numFmtId="0" fontId="48" fillId="9" borderId="15" xfId="0" applyFont="1" applyFill="1" applyBorder="1" applyAlignment="1">
      <alignment horizontal="right"/>
    </xf>
    <xf numFmtId="0" fontId="49" fillId="9" borderId="25" xfId="0" applyFont="1" applyFill="1" applyBorder="1" applyAlignment="1">
      <alignment horizontal="right"/>
    </xf>
    <xf numFmtId="0" fontId="49" fillId="0" borderId="25" xfId="0" applyFont="1" applyBorder="1"/>
    <xf numFmtId="0" fontId="49" fillId="9" borderId="15" xfId="0" applyFont="1" applyFill="1" applyBorder="1"/>
    <xf numFmtId="0" fontId="48" fillId="0" borderId="27" xfId="0" applyFont="1" applyBorder="1"/>
    <xf numFmtId="43" fontId="52" fillId="0" borderId="27" xfId="1" quotePrefix="1" applyFont="1" applyFill="1" applyBorder="1" applyAlignment="1">
      <alignment horizontal="right"/>
    </xf>
    <xf numFmtId="43" fontId="48" fillId="0" borderId="27" xfId="1" applyFont="1" applyFill="1" applyBorder="1" applyAlignment="1">
      <alignment horizontal="center" vertical="center"/>
    </xf>
    <xf numFmtId="43" fontId="48" fillId="0" borderId="27" xfId="1" applyFont="1" applyFill="1" applyBorder="1" applyAlignment="1">
      <alignment horizontal="center"/>
    </xf>
    <xf numFmtId="0" fontId="48" fillId="0" borderId="22" xfId="0" applyFont="1" applyBorder="1" applyAlignment="1">
      <alignment horizontal="left"/>
    </xf>
    <xf numFmtId="0" fontId="48" fillId="0" borderId="23" xfId="0" applyFont="1" applyBorder="1" applyAlignment="1">
      <alignment horizontal="right"/>
    </xf>
    <xf numFmtId="0" fontId="48" fillId="0" borderId="23" xfId="0" applyFont="1" applyBorder="1" applyAlignment="1">
      <alignment horizontal="center" wrapText="1"/>
    </xf>
    <xf numFmtId="0" fontId="48" fillId="0" borderId="22" xfId="0" applyFont="1" applyBorder="1" applyAlignment="1">
      <alignment horizontal="center" vertical="center" wrapText="1"/>
    </xf>
    <xf numFmtId="0" fontId="47" fillId="0" borderId="0" xfId="0" applyFont="1" applyAlignment="1">
      <alignment horizontal="center" vertical="top"/>
    </xf>
    <xf numFmtId="0" fontId="0" fillId="0" borderId="0" xfId="0" applyAlignment="1">
      <alignment horizontal="left" vertical="center" wrapText="1"/>
    </xf>
    <xf numFmtId="0" fontId="14" fillId="2" borderId="29" xfId="0" applyFont="1" applyFill="1" applyBorder="1" applyAlignment="1">
      <alignment horizontal="left" wrapText="1"/>
    </xf>
    <xf numFmtId="0" fontId="0" fillId="5" borderId="27" xfId="0" applyFill="1" applyBorder="1" applyAlignment="1">
      <alignment vertical="center" wrapText="1"/>
    </xf>
    <xf numFmtId="0" fontId="0" fillId="2" borderId="0" xfId="0" applyFill="1" applyAlignment="1">
      <alignment horizontal="left"/>
    </xf>
    <xf numFmtId="0" fontId="11" fillId="2" borderId="25" xfId="0" applyFont="1" applyFill="1" applyBorder="1"/>
    <xf numFmtId="0" fontId="14" fillId="2" borderId="0" xfId="0" applyFont="1" applyFill="1" applyAlignment="1">
      <alignment horizontal="left" wrapText="1"/>
    </xf>
    <xf numFmtId="43" fontId="14" fillId="2" borderId="0" xfId="1" applyFont="1" applyFill="1" applyBorder="1"/>
    <xf numFmtId="0" fontId="13" fillId="3" borderId="22" xfId="0" applyFont="1" applyFill="1" applyBorder="1"/>
    <xf numFmtId="0" fontId="0" fillId="3" borderId="23" xfId="0" applyFill="1" applyBorder="1"/>
    <xf numFmtId="0" fontId="0" fillId="3" borderId="24" xfId="0" applyFill="1" applyBorder="1"/>
    <xf numFmtId="0" fontId="11" fillId="0" borderId="25" xfId="0" applyFont="1" applyBorder="1"/>
    <xf numFmtId="0" fontId="3" fillId="10" borderId="2" xfId="0" applyFont="1" applyFill="1" applyBorder="1"/>
    <xf numFmtId="0" fontId="58" fillId="10" borderId="2" xfId="0" applyFont="1" applyFill="1" applyBorder="1"/>
    <xf numFmtId="2" fontId="11" fillId="0" borderId="2" xfId="0" applyNumberFormat="1" applyFont="1" applyBorder="1"/>
    <xf numFmtId="2" fontId="59" fillId="0" borderId="2" xfId="0" applyNumberFormat="1" applyFont="1" applyBorder="1"/>
    <xf numFmtId="4" fontId="11" fillId="0" borderId="2" xfId="0" applyNumberFormat="1" applyFont="1" applyBorder="1"/>
    <xf numFmtId="0" fontId="11" fillId="0" borderId="22" xfId="0" applyFont="1" applyBorder="1"/>
    <xf numFmtId="2" fontId="14" fillId="0" borderId="2" xfId="0" applyNumberFormat="1" applyFont="1" applyBorder="1"/>
    <xf numFmtId="0" fontId="58" fillId="0" borderId="2" xfId="0" applyFont="1" applyBorder="1"/>
    <xf numFmtId="0" fontId="14" fillId="0" borderId="22" xfId="0" applyFont="1" applyBorder="1"/>
    <xf numFmtId="0" fontId="11" fillId="0" borderId="23" xfId="0" applyFont="1" applyBorder="1" applyAlignment="1">
      <alignment wrapText="1"/>
    </xf>
    <xf numFmtId="0" fontId="11" fillId="0" borderId="23" xfId="0" applyFont="1" applyBorder="1"/>
    <xf numFmtId="0" fontId="59" fillId="0" borderId="24" xfId="0" applyFont="1" applyBorder="1"/>
    <xf numFmtId="4" fontId="11" fillId="0" borderId="2" xfId="0" applyNumberFormat="1" applyFont="1" applyBorder="1" applyAlignment="1">
      <alignment vertical="center"/>
    </xf>
    <xf numFmtId="0" fontId="3" fillId="0" borderId="2" xfId="0" applyFont="1" applyBorder="1"/>
    <xf numFmtId="43" fontId="14" fillId="0" borderId="2" xfId="1" applyFont="1" applyBorder="1"/>
    <xf numFmtId="10" fontId="0" fillId="0" borderId="0" xfId="0" applyNumberFormat="1"/>
    <xf numFmtId="0" fontId="3" fillId="0" borderId="0" xfId="0" applyFont="1" applyAlignment="1">
      <alignment horizontal="right"/>
    </xf>
    <xf numFmtId="165" fontId="0" fillId="0" borderId="0" xfId="0" applyNumberFormat="1"/>
    <xf numFmtId="0" fontId="14" fillId="0" borderId="25" xfId="0" applyFont="1" applyBorder="1"/>
    <xf numFmtId="166" fontId="0" fillId="2" borderId="26" xfId="0" applyNumberFormat="1" applyFill="1" applyBorder="1" applyAlignment="1">
      <alignment wrapText="1"/>
    </xf>
    <xf numFmtId="43" fontId="11" fillId="2" borderId="2" xfId="0" applyNumberFormat="1" applyFont="1" applyFill="1" applyBorder="1" applyAlignment="1">
      <alignment horizontal="left" vertical="center" wrapText="1"/>
    </xf>
    <xf numFmtId="43" fontId="14" fillId="2" borderId="2" xfId="0" applyNumberFormat="1" applyFont="1" applyFill="1" applyBorder="1" applyAlignment="1">
      <alignment horizontal="left" vertical="center" wrapText="1"/>
    </xf>
    <xf numFmtId="0" fontId="0" fillId="2" borderId="0" xfId="0" applyFill="1" applyAlignment="1">
      <alignment wrapText="1"/>
    </xf>
    <xf numFmtId="0" fontId="22" fillId="0" borderId="0" xfId="0" applyFont="1" applyAlignment="1">
      <alignment vertical="top" wrapText="1"/>
    </xf>
    <xf numFmtId="2" fontId="0" fillId="0" borderId="0" xfId="0" applyNumberFormat="1" applyAlignment="1">
      <alignment horizontal="left" vertical="center"/>
    </xf>
    <xf numFmtId="0" fontId="21" fillId="0" borderId="0" xfId="0" applyFont="1" applyAlignment="1">
      <alignment vertical="top" wrapText="1"/>
    </xf>
    <xf numFmtId="0" fontId="22" fillId="0" borderId="0" xfId="0" applyFont="1" applyAlignment="1" applyProtection="1">
      <alignment horizontal="left" vertical="center"/>
      <protection locked="0"/>
    </xf>
    <xf numFmtId="41" fontId="22" fillId="0" borderId="0" xfId="0" applyNumberFormat="1" applyFont="1" applyAlignment="1">
      <alignment horizontal="left" vertical="center" wrapText="1"/>
    </xf>
    <xf numFmtId="0" fontId="0" fillId="0" borderId="2" xfId="0" applyBorder="1" applyAlignment="1">
      <alignment horizontal="center" wrapText="1"/>
    </xf>
    <xf numFmtId="165" fontId="0" fillId="0" borderId="2" xfId="0" applyNumberFormat="1" applyBorder="1" applyAlignment="1">
      <alignment horizontal="center" wrapText="1"/>
    </xf>
    <xf numFmtId="43" fontId="0" fillId="0" borderId="2" xfId="0" applyNumberFormat="1" applyBorder="1" applyAlignment="1">
      <alignment horizontal="center" wrapText="1"/>
    </xf>
    <xf numFmtId="0" fontId="0" fillId="0" borderId="20" xfId="0" applyBorder="1"/>
    <xf numFmtId="0" fontId="3" fillId="0" borderId="4" xfId="0" applyFont="1" applyBorder="1"/>
    <xf numFmtId="43" fontId="48" fillId="0" borderId="27" xfId="1" applyFont="1" applyFill="1" applyBorder="1" applyAlignment="1">
      <alignment horizontal="right"/>
    </xf>
    <xf numFmtId="2" fontId="48" fillId="0" borderId="27" xfId="0" applyNumberFormat="1" applyFont="1" applyBorder="1" applyAlignment="1">
      <alignment horizontal="left"/>
    </xf>
    <xf numFmtId="2" fontId="34" fillId="0" borderId="2" xfId="0" applyNumberFormat="1" applyFont="1" applyBorder="1" applyAlignment="1">
      <alignment horizontal="center" vertical="center" wrapText="1"/>
    </xf>
    <xf numFmtId="0" fontId="60" fillId="0" borderId="0" xfId="0" applyFont="1"/>
    <xf numFmtId="0" fontId="61" fillId="0" borderId="0" xfId="0" applyFont="1"/>
    <xf numFmtId="0" fontId="61" fillId="0" borderId="0" xfId="0" applyFont="1" applyAlignment="1">
      <alignment horizontal="left" vertical="top" wrapText="1"/>
    </xf>
    <xf numFmtId="0" fontId="0" fillId="2" borderId="0" xfId="0" applyFill="1" applyAlignment="1">
      <alignment horizontal="left" vertical="top" wrapText="1"/>
    </xf>
    <xf numFmtId="43" fontId="11" fillId="0" borderId="4" xfId="1" applyFont="1" applyFill="1" applyBorder="1" applyAlignment="1">
      <alignment vertical="center"/>
    </xf>
    <xf numFmtId="43" fontId="14" fillId="2" borderId="20" xfId="1" applyFont="1" applyFill="1" applyBorder="1"/>
    <xf numFmtId="43" fontId="0" fillId="0" borderId="2" xfId="1" applyFont="1" applyBorder="1" applyAlignment="1">
      <alignment horizontal="right"/>
    </xf>
    <xf numFmtId="43" fontId="0" fillId="0" borderId="2" xfId="1" applyFont="1" applyBorder="1"/>
    <xf numFmtId="43" fontId="14" fillId="0" borderId="2" xfId="1" applyFont="1" applyBorder="1" applyAlignment="1">
      <alignment horizontal="right"/>
    </xf>
    <xf numFmtId="43" fontId="3" fillId="0" borderId="0" xfId="1" applyFont="1"/>
    <xf numFmtId="0" fontId="0" fillId="2" borderId="0" xfId="0" quotePrefix="1" applyFill="1" applyAlignment="1">
      <alignment horizontal="left"/>
    </xf>
    <xf numFmtId="0" fontId="0" fillId="2" borderId="0" xfId="0" quotePrefix="1" applyFill="1" applyAlignment="1">
      <alignment vertical="center"/>
    </xf>
    <xf numFmtId="0" fontId="0" fillId="2" borderId="0" xfId="0" applyFill="1"/>
    <xf numFmtId="0" fontId="12" fillId="2" borderId="0" xfId="0" applyFont="1" applyFill="1"/>
    <xf numFmtId="15" fontId="3" fillId="0" borderId="26" xfId="0" applyNumberFormat="1" applyFont="1" applyBorder="1" applyAlignment="1">
      <alignment horizontal="center" vertical="center"/>
    </xf>
    <xf numFmtId="0" fontId="0" fillId="0" borderId="0" xfId="0" applyAlignment="1">
      <alignment horizontal="center"/>
    </xf>
    <xf numFmtId="0" fontId="37" fillId="0" borderId="0" xfId="0" applyFont="1" applyAlignment="1">
      <alignment horizontal="left" vertical="center"/>
    </xf>
    <xf numFmtId="0" fontId="29" fillId="0" borderId="0" xfId="0" applyFont="1" applyAlignment="1">
      <alignment horizontal="left" vertical="center"/>
    </xf>
    <xf numFmtId="0" fontId="36" fillId="0" borderId="0" xfId="0" applyFont="1" applyAlignment="1">
      <alignment horizontal="left" vertical="center"/>
    </xf>
    <xf numFmtId="0" fontId="13" fillId="0" borderId="0" xfId="0" applyFont="1" applyAlignment="1">
      <alignment horizontal="left" vertical="center"/>
    </xf>
    <xf numFmtId="0" fontId="5" fillId="0" borderId="0" xfId="0" applyFont="1" applyAlignment="1">
      <alignment horizontal="left"/>
    </xf>
    <xf numFmtId="0" fontId="0" fillId="0" borderId="0" xfId="0" applyAlignment="1">
      <alignment horizontal="left" wrapText="1"/>
    </xf>
    <xf numFmtId="0" fontId="6" fillId="0" borderId="22" xfId="0" applyFont="1" applyBorder="1" applyAlignment="1">
      <alignment horizontal="center"/>
    </xf>
    <xf numFmtId="0" fontId="6" fillId="0" borderId="23" xfId="0" applyFont="1" applyBorder="1" applyAlignment="1">
      <alignment horizontal="center"/>
    </xf>
    <xf numFmtId="0" fontId="6" fillId="0" borderId="24" xfId="0" applyFont="1" applyBorder="1" applyAlignment="1">
      <alignment horizontal="center"/>
    </xf>
    <xf numFmtId="0" fontId="3" fillId="5" borderId="2" xfId="0" applyFont="1" applyFill="1" applyBorder="1" applyAlignment="1">
      <alignment horizontal="center" vertical="center"/>
    </xf>
    <xf numFmtId="3" fontId="0" fillId="0" borderId="22" xfId="0" applyNumberFormat="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0" xfId="0" applyAlignment="1">
      <alignment horizontal="left"/>
    </xf>
    <xf numFmtId="0" fontId="3" fillId="0" borderId="0" xfId="0" applyFont="1"/>
    <xf numFmtId="0" fontId="14" fillId="0" borderId="0" xfId="0" applyFont="1" applyAlignment="1">
      <alignment horizontal="left" wrapText="1"/>
    </xf>
    <xf numFmtId="0" fontId="12" fillId="0" borderId="0" xfId="0" applyFont="1" applyAlignment="1">
      <alignment horizontal="left" wrapText="1"/>
    </xf>
    <xf numFmtId="0" fontId="0" fillId="0" borderId="0" xfId="0"/>
    <xf numFmtId="0" fontId="15" fillId="0" borderId="0" xfId="0" applyFont="1" applyAlignment="1">
      <alignment horizontal="left" vertical="center" wrapText="1"/>
    </xf>
    <xf numFmtId="0" fontId="0" fillId="0" borderId="0" xfId="0" applyAlignment="1">
      <alignment horizontal="left" vertical="center" wrapText="1"/>
    </xf>
    <xf numFmtId="0" fontId="15" fillId="0" borderId="0" xfId="0" applyFont="1" applyAlignment="1">
      <alignment horizontal="left" vertical="center"/>
    </xf>
    <xf numFmtId="0" fontId="0" fillId="0" borderId="0" xfId="0" applyAlignment="1">
      <alignment horizontal="left" vertical="center"/>
    </xf>
    <xf numFmtId="0" fontId="22" fillId="0" borderId="0" xfId="0" applyFont="1" applyAlignment="1">
      <alignment horizontal="left" vertical="top" wrapText="1"/>
    </xf>
    <xf numFmtId="0" fontId="12" fillId="0" borderId="0" xfId="0" applyFont="1" applyAlignment="1">
      <alignment vertical="center" wrapText="1"/>
    </xf>
    <xf numFmtId="0" fontId="0" fillId="0" borderId="0" xfId="0" applyAlignment="1">
      <alignment vertical="center" wrapText="1"/>
    </xf>
    <xf numFmtId="41" fontId="3" fillId="0" borderId="0" xfId="0" applyNumberFormat="1" applyFont="1" applyAlignment="1">
      <alignment horizontal="left" vertical="center" wrapText="1"/>
    </xf>
    <xf numFmtId="3" fontId="49" fillId="9" borderId="0" xfId="0" quotePrefix="1" applyNumberFormat="1" applyFont="1" applyFill="1" applyAlignment="1">
      <alignment horizontal="center" vertical="center"/>
    </xf>
    <xf numFmtId="0" fontId="49" fillId="9" borderId="0" xfId="0" applyFont="1" applyFill="1" applyAlignment="1">
      <alignment horizontal="center" vertical="center" wrapText="1"/>
    </xf>
    <xf numFmtId="0" fontId="49" fillId="9" borderId="0" xfId="0" applyFont="1" applyFill="1" applyAlignment="1">
      <alignment horizontal="center" vertical="center"/>
    </xf>
    <xf numFmtId="0" fontId="49" fillId="9" borderId="2" xfId="0" applyFont="1" applyFill="1" applyBorder="1" applyAlignment="1">
      <alignment horizontal="center" vertical="center" wrapText="1"/>
    </xf>
    <xf numFmtId="43" fontId="49" fillId="9" borderId="0" xfId="1" applyFont="1" applyFill="1" applyBorder="1" applyAlignment="1">
      <alignment horizontal="left" wrapText="1"/>
    </xf>
    <xf numFmtId="43" fontId="9" fillId="0" borderId="0" xfId="1" applyFont="1" applyBorder="1" applyAlignment="1">
      <alignment horizontal="left"/>
    </xf>
    <xf numFmtId="0" fontId="47" fillId="0" borderId="22" xfId="0" applyFont="1" applyBorder="1" applyAlignment="1">
      <alignment horizontal="center" vertical="top"/>
    </xf>
    <xf numFmtId="0" fontId="47" fillId="0" borderId="23" xfId="0" applyFont="1" applyBorder="1" applyAlignment="1">
      <alignment horizontal="center" vertical="top"/>
    </xf>
    <xf numFmtId="0" fontId="47" fillId="0" borderId="24" xfId="0" applyFont="1" applyBorder="1" applyAlignment="1">
      <alignment horizontal="center" vertical="top"/>
    </xf>
    <xf numFmtId="0" fontId="49" fillId="0" borderId="0" xfId="0" applyFont="1" applyAlignment="1">
      <alignment horizontal="left"/>
    </xf>
    <xf numFmtId="0" fontId="48" fillId="9" borderId="27" xfId="0" applyFont="1" applyFill="1" applyBorder="1" applyAlignment="1">
      <alignment horizontal="left"/>
    </xf>
    <xf numFmtId="0" fontId="48" fillId="9" borderId="0" xfId="0" applyFont="1" applyFill="1" applyAlignment="1">
      <alignment horizontal="left"/>
    </xf>
    <xf numFmtId="0" fontId="48" fillId="9" borderId="26" xfId="0" applyFont="1" applyFill="1" applyBorder="1" applyAlignment="1">
      <alignment horizontal="left"/>
    </xf>
    <xf numFmtId="0" fontId="49" fillId="9" borderId="27" xfId="0" applyFont="1" applyFill="1" applyBorder="1" applyAlignment="1">
      <alignment horizontal="left" vertical="center" wrapText="1"/>
    </xf>
    <xf numFmtId="3" fontId="49" fillId="9" borderId="29" xfId="0" applyNumberFormat="1" applyFont="1" applyFill="1" applyBorder="1" applyAlignment="1">
      <alignment horizontal="left" wrapText="1"/>
    </xf>
    <xf numFmtId="0" fontId="49" fillId="9" borderId="29" xfId="0" applyFont="1" applyFill="1" applyBorder="1" applyAlignment="1">
      <alignment horizontal="left" wrapText="1"/>
    </xf>
    <xf numFmtId="0" fontId="49" fillId="9" borderId="0" xfId="0" applyFont="1" applyFill="1" applyAlignment="1">
      <alignment horizontal="left" vertical="center" wrapText="1"/>
    </xf>
    <xf numFmtId="3" fontId="49" fillId="9" borderId="2" xfId="0" quotePrefix="1" applyNumberFormat="1" applyFont="1" applyFill="1" applyBorder="1" applyAlignment="1">
      <alignment horizontal="center" vertical="center"/>
    </xf>
    <xf numFmtId="0" fontId="0" fillId="0" borderId="2" xfId="0" applyBorder="1"/>
    <xf numFmtId="0" fontId="49" fillId="9" borderId="2" xfId="0" applyFont="1" applyFill="1" applyBorder="1" applyAlignment="1">
      <alignment horizontal="center" vertical="center"/>
    </xf>
    <xf numFmtId="0" fontId="48" fillId="9" borderId="0" xfId="0" applyFont="1" applyFill="1" applyAlignment="1">
      <alignment horizontal="left" wrapText="1"/>
    </xf>
    <xf numFmtId="0" fontId="48" fillId="0" borderId="0" xfId="0" applyFont="1" applyAlignment="1">
      <alignment horizontal="center"/>
    </xf>
    <xf numFmtId="167" fontId="9" fillId="0" borderId="0" xfId="0" applyNumberFormat="1" applyFont="1" applyAlignment="1">
      <alignment horizontal="center"/>
    </xf>
    <xf numFmtId="167" fontId="9" fillId="0" borderId="26" xfId="0" applyNumberFormat="1" applyFont="1" applyBorder="1" applyAlignment="1">
      <alignment horizontal="center"/>
    </xf>
    <xf numFmtId="4" fontId="48" fillId="0" borderId="23" xfId="0" applyNumberFormat="1" applyFont="1" applyBorder="1" applyAlignment="1">
      <alignment horizontal="right"/>
    </xf>
    <xf numFmtId="4" fontId="48" fillId="0" borderId="27" xfId="0" applyNumberFormat="1" applyFont="1" applyBorder="1" applyAlignment="1">
      <alignment horizontal="right"/>
    </xf>
    <xf numFmtId="4" fontId="48" fillId="0" borderId="16" xfId="0" applyNumberFormat="1" applyFont="1" applyBorder="1" applyAlignment="1">
      <alignment horizontal="right"/>
    </xf>
    <xf numFmtId="43" fontId="48" fillId="0" borderId="27" xfId="1" applyFont="1" applyBorder="1" applyAlignment="1">
      <alignment horizontal="right" vertical="center"/>
    </xf>
    <xf numFmtId="4" fontId="48" fillId="0" borderId="27" xfId="0" applyNumberFormat="1" applyFont="1" applyBorder="1" applyAlignment="1">
      <alignment horizontal="center"/>
    </xf>
    <xf numFmtId="0" fontId="48" fillId="0" borderId="23" xfId="0" applyFont="1" applyBorder="1"/>
    <xf numFmtId="0" fontId="8" fillId="0" borderId="24" xfId="0" applyFont="1" applyBorder="1"/>
    <xf numFmtId="0" fontId="49" fillId="0" borderId="23" xfId="0" applyFont="1" applyBorder="1" applyAlignment="1">
      <alignment horizontal="center"/>
    </xf>
    <xf numFmtId="0" fontId="48" fillId="0" borderId="22" xfId="0" applyFont="1" applyBorder="1" applyAlignment="1">
      <alignment horizontal="left" wrapText="1"/>
    </xf>
    <xf numFmtId="0" fontId="48" fillId="0" borderId="23" xfId="0" applyFont="1" applyBorder="1" applyAlignment="1">
      <alignment horizontal="left" wrapText="1"/>
    </xf>
    <xf numFmtId="0" fontId="48" fillId="0" borderId="24" xfId="0" applyFont="1" applyBorder="1" applyAlignment="1">
      <alignment horizontal="left" wrapText="1"/>
    </xf>
    <xf numFmtId="0" fontId="49" fillId="0" borderId="25" xfId="0" applyFont="1" applyBorder="1" applyAlignment="1">
      <alignment horizontal="left" vertical="center" wrapText="1"/>
    </xf>
    <xf numFmtId="0" fontId="49" fillId="0" borderId="0" xfId="0" applyFont="1" applyAlignment="1">
      <alignment horizontal="left" vertical="center" wrapText="1"/>
    </xf>
    <xf numFmtId="0" fontId="49" fillId="0" borderId="26" xfId="0" applyFont="1" applyBorder="1" applyAlignment="1">
      <alignment horizontal="left" vertical="center" wrapText="1"/>
    </xf>
    <xf numFmtId="4" fontId="48" fillId="0" borderId="16" xfId="0" applyNumberFormat="1" applyFont="1" applyBorder="1" applyAlignment="1">
      <alignment horizontal="center"/>
    </xf>
    <xf numFmtId="43" fontId="48" fillId="0" borderId="27" xfId="1" applyFont="1" applyBorder="1" applyAlignment="1">
      <alignment horizontal="center"/>
    </xf>
    <xf numFmtId="0" fontId="48" fillId="0" borderId="23" xfId="0" applyFont="1" applyBorder="1" applyAlignment="1">
      <alignment horizontal="center" vertical="center" wrapText="1"/>
    </xf>
    <xf numFmtId="0" fontId="48" fillId="0" borderId="24" xfId="0" applyFont="1" applyBorder="1" applyAlignment="1">
      <alignment horizontal="center" vertical="center" wrapText="1"/>
    </xf>
    <xf numFmtId="0" fontId="56" fillId="0" borderId="2" xfId="0" applyFont="1" applyBorder="1" applyAlignment="1">
      <alignment horizontal="left" vertical="center" wrapText="1"/>
    </xf>
    <xf numFmtId="0" fontId="29" fillId="0" borderId="7" xfId="0" applyFont="1" applyBorder="1" applyAlignment="1">
      <alignment horizontal="center" vertical="center"/>
    </xf>
    <xf numFmtId="0" fontId="29" fillId="0" borderId="9" xfId="0" applyFont="1" applyBorder="1" applyAlignment="1">
      <alignment horizontal="center" vertical="center"/>
    </xf>
    <xf numFmtId="43" fontId="3" fillId="0" borderId="22" xfId="1" applyFont="1" applyFill="1" applyBorder="1" applyAlignment="1">
      <alignment horizontal="center"/>
    </xf>
    <xf numFmtId="43" fontId="3" fillId="0" borderId="24" xfId="1" applyFont="1" applyFill="1" applyBorder="1" applyAlignment="1">
      <alignment horizontal="center"/>
    </xf>
    <xf numFmtId="43" fontId="0" fillId="0" borderId="2" xfId="1" applyFont="1" applyBorder="1" applyAlignment="1">
      <alignment horizontal="center" wrapText="1"/>
    </xf>
    <xf numFmtId="0" fontId="3" fillId="0" borderId="22" xfId="0" applyFont="1" applyBorder="1" applyAlignment="1">
      <alignment horizontal="center"/>
    </xf>
    <xf numFmtId="0" fontId="3" fillId="0" borderId="23" xfId="0" applyFont="1" applyBorder="1" applyAlignment="1">
      <alignment horizontal="center"/>
    </xf>
    <xf numFmtId="0" fontId="3" fillId="0" borderId="2" xfId="0" applyFont="1" applyBorder="1" applyAlignment="1">
      <alignment horizontal="center"/>
    </xf>
    <xf numFmtId="43" fontId="0" fillId="0" borderId="2" xfId="1" applyFont="1" applyBorder="1" applyAlignment="1">
      <alignment horizontal="center"/>
    </xf>
    <xf numFmtId="43" fontId="3" fillId="0" borderId="23" xfId="1" applyFont="1" applyFill="1" applyBorder="1" applyAlignment="1">
      <alignment horizontal="center"/>
    </xf>
    <xf numFmtId="43" fontId="0" fillId="0" borderId="2" xfId="1" applyFont="1" applyFill="1" applyBorder="1" applyAlignment="1">
      <alignment horizontal="center" wrapText="1"/>
    </xf>
    <xf numFmtId="0" fontId="0" fillId="0" borderId="2" xfId="0" applyBorder="1" applyAlignment="1">
      <alignment horizontal="left"/>
    </xf>
    <xf numFmtId="0" fontId="3" fillId="5" borderId="23" xfId="0" applyFont="1" applyFill="1" applyBorder="1" applyAlignment="1">
      <alignment horizontal="center" vertical="center"/>
    </xf>
    <xf numFmtId="0" fontId="3" fillId="5" borderId="24" xfId="0" applyFont="1" applyFill="1" applyBorder="1" applyAlignment="1">
      <alignment horizontal="center" vertical="center"/>
    </xf>
    <xf numFmtId="0" fontId="0" fillId="0" borderId="28" xfId="0" applyFont="1" applyBorder="1" applyAlignment="1">
      <alignment horizontal="center" vertical="center" wrapText="1"/>
    </xf>
    <xf numFmtId="0" fontId="0" fillId="0" borderId="29" xfId="0" applyFont="1" applyBorder="1" applyAlignment="1">
      <alignment horizontal="center" vertical="center" wrapText="1"/>
    </xf>
    <xf numFmtId="0" fontId="0" fillId="0" borderId="30" xfId="0" applyFont="1" applyBorder="1" applyAlignment="1">
      <alignment horizontal="center" vertical="center" wrapText="1"/>
    </xf>
    <xf numFmtId="0" fontId="0" fillId="0" borderId="25" xfId="0" applyFont="1" applyBorder="1" applyAlignment="1">
      <alignment horizontal="center" vertical="center" wrapText="1"/>
    </xf>
    <xf numFmtId="0" fontId="0" fillId="0" borderId="0" xfId="0" applyFont="1" applyAlignment="1">
      <alignment horizontal="center" vertical="center" wrapText="1"/>
    </xf>
    <xf numFmtId="0" fontId="0" fillId="0" borderId="26" xfId="0" applyFont="1" applyBorder="1" applyAlignment="1">
      <alignment horizontal="center" vertical="center" wrapText="1"/>
    </xf>
    <xf numFmtId="3" fontId="0" fillId="0" borderId="22" xfId="0" applyNumberFormat="1" applyBorder="1" applyAlignment="1">
      <alignment horizontal="center" vertical="center"/>
    </xf>
    <xf numFmtId="0" fontId="0" fillId="0" borderId="24" xfId="0" applyBorder="1" applyAlignment="1">
      <alignment horizontal="center" vertical="center"/>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22" xfId="0" applyBorder="1" applyAlignment="1">
      <alignment horizontal="center" vertical="center" wrapText="1"/>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15" xfId="0" applyFont="1" applyBorder="1" applyAlignment="1">
      <alignment horizontal="center" vertical="center"/>
    </xf>
    <xf numFmtId="0" fontId="14" fillId="0" borderId="27" xfId="0" applyFont="1" applyBorder="1" applyAlignment="1">
      <alignment horizontal="center" vertical="center"/>
    </xf>
    <xf numFmtId="0" fontId="14" fillId="0" borderId="16" xfId="0" applyFont="1" applyBorder="1" applyAlignment="1">
      <alignment horizontal="center" vertical="center"/>
    </xf>
    <xf numFmtId="0" fontId="3" fillId="0" borderId="2" xfId="0" applyFont="1" applyBorder="1" applyAlignment="1">
      <alignment horizontal="center" vertical="center" wrapText="1"/>
    </xf>
    <xf numFmtId="0" fontId="3" fillId="5" borderId="22" xfId="0" applyFont="1" applyFill="1" applyBorder="1" applyAlignment="1">
      <alignment horizontal="center" vertical="center"/>
    </xf>
    <xf numFmtId="0" fontId="3" fillId="5" borderId="22" xfId="0" applyFont="1" applyFill="1" applyBorder="1" applyAlignment="1">
      <alignment horizontal="left" vertical="center"/>
    </xf>
    <xf numFmtId="0" fontId="3" fillId="5" borderId="23" xfId="0" applyFont="1" applyFill="1" applyBorder="1" applyAlignment="1">
      <alignment horizontal="left" vertical="center"/>
    </xf>
    <xf numFmtId="0" fontId="3" fillId="5" borderId="22" xfId="0"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3" fillId="0" borderId="25" xfId="0" applyFont="1" applyBorder="1" applyAlignment="1">
      <alignment horizontal="left" vertical="center"/>
    </xf>
    <xf numFmtId="0" fontId="3" fillId="0" borderId="0" xfId="0" applyFont="1" applyAlignment="1">
      <alignment horizontal="left" vertical="center"/>
    </xf>
    <xf numFmtId="0" fontId="0" fillId="0" borderId="26" xfId="0" applyBorder="1" applyAlignment="1">
      <alignment horizontal="left" vertical="center" wrapText="1"/>
    </xf>
    <xf numFmtId="0" fontId="3" fillId="0" borderId="28" xfId="0" applyFont="1" applyBorder="1" applyAlignment="1">
      <alignment horizontal="left" vertical="center" wrapText="1"/>
    </xf>
    <xf numFmtId="0" fontId="3" fillId="0" borderId="29" xfId="0" applyFont="1" applyBorder="1" applyAlignment="1">
      <alignment horizontal="left" vertical="center" wrapText="1"/>
    </xf>
    <xf numFmtId="0" fontId="3" fillId="0" borderId="30" xfId="0" applyFont="1" applyBorder="1" applyAlignment="1">
      <alignment horizontal="left" vertical="center" wrapText="1"/>
    </xf>
    <xf numFmtId="0" fontId="3" fillId="0" borderId="25" xfId="0" applyFont="1" applyBorder="1" applyAlignment="1">
      <alignment horizontal="left" vertical="center" wrapText="1"/>
    </xf>
    <xf numFmtId="0" fontId="3" fillId="0" borderId="0" xfId="0" applyFont="1" applyAlignment="1">
      <alignment horizontal="left" vertical="center" wrapText="1"/>
    </xf>
    <xf numFmtId="0" fontId="3" fillId="0" borderId="26" xfId="0" applyFont="1" applyBorder="1" applyAlignment="1">
      <alignment horizontal="left" vertical="center" wrapText="1"/>
    </xf>
    <xf numFmtId="0" fontId="3" fillId="0" borderId="15" xfId="0" applyFont="1" applyBorder="1" applyAlignment="1">
      <alignment horizontal="left" vertical="center" wrapText="1"/>
    </xf>
    <xf numFmtId="0" fontId="3" fillId="0" borderId="27" xfId="0" applyFont="1" applyBorder="1" applyAlignment="1">
      <alignment horizontal="left" vertical="center" wrapText="1"/>
    </xf>
    <xf numFmtId="0" fontId="3" fillId="0" borderId="16" xfId="0" applyFont="1" applyBorder="1" applyAlignment="1">
      <alignment horizontal="left" vertical="center" wrapText="1"/>
    </xf>
    <xf numFmtId="0" fontId="0" fillId="0" borderId="25" xfId="0" applyBorder="1" applyAlignment="1">
      <alignment horizontal="left"/>
    </xf>
    <xf numFmtId="1" fontId="3" fillId="0" borderId="2" xfId="0" applyNumberFormat="1" applyFont="1" applyBorder="1" applyAlignment="1">
      <alignment horizontal="center" vertical="center" wrapText="1"/>
    </xf>
    <xf numFmtId="0" fontId="3" fillId="0" borderId="0" xfId="0" applyFont="1" applyAlignment="1">
      <alignment horizontal="center" vertical="center" wrapText="1"/>
    </xf>
    <xf numFmtId="0" fontId="14" fillId="2" borderId="29" xfId="0" applyFont="1" applyFill="1" applyBorder="1" applyAlignment="1">
      <alignment horizontal="left" wrapText="1"/>
    </xf>
    <xf numFmtId="0" fontId="14" fillId="5" borderId="22" xfId="0" applyFont="1" applyFill="1" applyBorder="1" applyAlignment="1">
      <alignment horizontal="left"/>
    </xf>
    <xf numFmtId="0" fontId="14" fillId="5" borderId="23" xfId="0" applyFont="1" applyFill="1" applyBorder="1" applyAlignment="1">
      <alignment horizontal="left"/>
    </xf>
    <xf numFmtId="0" fontId="14" fillId="5" borderId="24" xfId="0" applyFont="1" applyFill="1" applyBorder="1" applyAlignment="1">
      <alignment horizontal="left"/>
    </xf>
    <xf numFmtId="0" fontId="13" fillId="3" borderId="22" xfId="0" applyFont="1" applyFill="1" applyBorder="1" applyAlignment="1">
      <alignment horizontal="center" vertical="center" wrapText="1"/>
    </xf>
    <xf numFmtId="0" fontId="0" fillId="3" borderId="23" xfId="0" applyFill="1" applyBorder="1" applyAlignment="1">
      <alignment horizontal="center" vertical="center" wrapText="1"/>
    </xf>
    <xf numFmtId="0" fontId="0" fillId="3" borderId="24" xfId="0" applyFill="1" applyBorder="1" applyAlignment="1">
      <alignment horizontal="center" vertical="center" wrapText="1"/>
    </xf>
    <xf numFmtId="0" fontId="14" fillId="3" borderId="22" xfId="0" applyFont="1" applyFill="1" applyBorder="1" applyAlignment="1">
      <alignment wrapText="1"/>
    </xf>
    <xf numFmtId="0" fontId="0" fillId="3" borderId="24" xfId="0" applyFill="1" applyBorder="1" applyAlignment="1">
      <alignment wrapText="1"/>
    </xf>
    <xf numFmtId="0" fontId="11" fillId="2" borderId="25" xfId="0" applyFont="1" applyFill="1" applyBorder="1" applyAlignment="1">
      <alignment horizontal="center" vertical="center" wrapText="1"/>
    </xf>
    <xf numFmtId="0" fontId="0" fillId="0" borderId="26"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14" fillId="2" borderId="20" xfId="0" applyFont="1" applyFill="1" applyBorder="1"/>
    <xf numFmtId="49" fontId="0" fillId="0" borderId="0" xfId="1" applyNumberFormat="1" applyFont="1" applyBorder="1" applyAlignment="1">
      <alignment horizontal="left" vertical="center" wrapText="1"/>
    </xf>
    <xf numFmtId="43" fontId="0" fillId="0" borderId="0" xfId="1" applyFont="1" applyBorder="1" applyAlignment="1">
      <alignment horizontal="left" vertical="center" wrapText="1"/>
    </xf>
    <xf numFmtId="43" fontId="0" fillId="0" borderId="26" xfId="1" applyFont="1" applyBorder="1" applyAlignment="1">
      <alignment horizontal="left" vertical="center" wrapText="1"/>
    </xf>
    <xf numFmtId="0" fontId="3" fillId="0" borderId="21" xfId="0" applyFont="1" applyBorder="1" applyAlignment="1">
      <alignment horizontal="center" vertical="center" wrapText="1"/>
    </xf>
    <xf numFmtId="0" fontId="3" fillId="0" borderId="4" xfId="0" applyFont="1" applyBorder="1" applyAlignment="1">
      <alignment horizontal="center" vertical="center" wrapText="1"/>
    </xf>
    <xf numFmtId="0" fontId="11" fillId="0" borderId="2" xfId="0" applyFont="1" applyBorder="1" applyAlignment="1">
      <alignment wrapText="1"/>
    </xf>
    <xf numFmtId="0" fontId="0" fillId="0" borderId="2" xfId="0" applyBorder="1" applyAlignment="1">
      <alignment wrapText="1"/>
    </xf>
    <xf numFmtId="0" fontId="11" fillId="0" borderId="22" xfId="0" applyFont="1" applyBorder="1" applyAlignment="1">
      <alignment wrapText="1"/>
    </xf>
    <xf numFmtId="0" fontId="0" fillId="0" borderId="24" xfId="0" applyBorder="1"/>
    <xf numFmtId="0" fontId="11" fillId="0" borderId="22" xfId="0" applyFont="1" applyBorder="1" applyAlignment="1">
      <alignment horizontal="left" vertical="center"/>
    </xf>
    <xf numFmtId="0" fontId="11" fillId="0" borderId="23" xfId="0" applyFont="1" applyBorder="1" applyAlignment="1">
      <alignment horizontal="left" vertical="center"/>
    </xf>
    <xf numFmtId="0" fontId="14" fillId="0" borderId="22" xfId="0" applyFont="1" applyBorder="1" applyAlignment="1">
      <alignment horizontal="left"/>
    </xf>
    <xf numFmtId="0" fontId="0" fillId="0" borderId="23" xfId="0" applyBorder="1"/>
    <xf numFmtId="0" fontId="0" fillId="0" borderId="25" xfId="0" applyBorder="1" applyAlignment="1">
      <alignment horizontal="left" wrapText="1"/>
    </xf>
    <xf numFmtId="0" fontId="13" fillId="5" borderId="15" xfId="0" applyFont="1" applyFill="1" applyBorder="1" applyAlignment="1">
      <alignment horizontal="center"/>
    </xf>
    <xf numFmtId="0" fontId="13" fillId="5" borderId="27" xfId="0" applyFont="1" applyFill="1" applyBorder="1" applyAlignment="1">
      <alignment horizontal="center"/>
    </xf>
    <xf numFmtId="0" fontId="13" fillId="5" borderId="16" xfId="0" applyFont="1" applyFill="1" applyBorder="1" applyAlignment="1">
      <alignment horizontal="center"/>
    </xf>
    <xf numFmtId="0" fontId="11" fillId="5" borderId="25" xfId="0" applyFont="1" applyFill="1" applyBorder="1" applyAlignment="1">
      <alignment horizontal="justify" vertical="center" wrapText="1"/>
    </xf>
    <xf numFmtId="0" fontId="0" fillId="5" borderId="0" xfId="0" applyFill="1" applyAlignment="1">
      <alignment vertical="center" wrapText="1"/>
    </xf>
    <xf numFmtId="0" fontId="0" fillId="5" borderId="26" xfId="0" applyFill="1" applyBorder="1" applyAlignment="1">
      <alignment vertical="center" wrapText="1"/>
    </xf>
    <xf numFmtId="0" fontId="0" fillId="5" borderId="25" xfId="0" applyFill="1" applyBorder="1" applyAlignment="1">
      <alignment vertical="center" wrapText="1"/>
    </xf>
    <xf numFmtId="0" fontId="0" fillId="5" borderId="15" xfId="0" applyFill="1" applyBorder="1" applyAlignment="1">
      <alignment vertical="center" wrapText="1"/>
    </xf>
    <xf numFmtId="0" fontId="0" fillId="5" borderId="27" xfId="0" applyFill="1" applyBorder="1" applyAlignment="1">
      <alignment vertical="center" wrapText="1"/>
    </xf>
    <xf numFmtId="0" fontId="0" fillId="5" borderId="16" xfId="0" applyFill="1" applyBorder="1" applyAlignment="1">
      <alignment vertical="center" wrapText="1"/>
    </xf>
    <xf numFmtId="0" fontId="11" fillId="0" borderId="25" xfId="0" applyFont="1" applyBorder="1" applyAlignment="1">
      <alignment horizontal="left"/>
    </xf>
    <xf numFmtId="0" fontId="11" fillId="0" borderId="0" xfId="0" applyFont="1" applyAlignment="1">
      <alignment horizontal="left"/>
    </xf>
    <xf numFmtId="0" fontId="11" fillId="0" borderId="22" xfId="0" applyFont="1" applyBorder="1" applyAlignment="1">
      <alignment horizontal="center"/>
    </xf>
    <xf numFmtId="0" fontId="11" fillId="0" borderId="23" xfId="0" applyFont="1" applyBorder="1" applyAlignment="1">
      <alignment horizontal="center"/>
    </xf>
    <xf numFmtId="0" fontId="11" fillId="0" borderId="24" xfId="0" applyFont="1" applyBorder="1" applyAlignment="1">
      <alignment horizontal="center"/>
    </xf>
    <xf numFmtId="0" fontId="11" fillId="0" borderId="20" xfId="0" applyFont="1" applyBorder="1" applyAlignment="1">
      <alignment horizontal="center" vertical="center"/>
    </xf>
    <xf numFmtId="0" fontId="11" fillId="0" borderId="4" xfId="0" applyFont="1" applyBorder="1" applyAlignment="1">
      <alignment horizontal="center" vertical="center"/>
    </xf>
    <xf numFmtId="0" fontId="3" fillId="0" borderId="20" xfId="0" applyFont="1" applyBorder="1" applyAlignment="1">
      <alignment horizontal="center" vertical="center"/>
    </xf>
    <xf numFmtId="0" fontId="3" fillId="0" borderId="4"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11" fillId="0" borderId="28"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xf numFmtId="0" fontId="11" fillId="0" borderId="15" xfId="0" applyFont="1" applyBorder="1" applyAlignment="1">
      <alignment horizontal="center"/>
    </xf>
    <xf numFmtId="0" fontId="11" fillId="0" borderId="27" xfId="0" applyFont="1" applyBorder="1" applyAlignment="1">
      <alignment horizontal="center"/>
    </xf>
    <xf numFmtId="0" fontId="11" fillId="0" borderId="16" xfId="0" applyFont="1" applyBorder="1" applyAlignment="1">
      <alignment horizontal="center"/>
    </xf>
    <xf numFmtId="43" fontId="14" fillId="2" borderId="20" xfId="1" applyFont="1" applyFill="1" applyBorder="1" applyAlignment="1">
      <alignment horizontal="center"/>
    </xf>
    <xf numFmtId="43" fontId="14" fillId="2" borderId="21" xfId="1" applyFont="1" applyFill="1" applyBorder="1" applyAlignment="1">
      <alignment horizontal="center"/>
    </xf>
    <xf numFmtId="43" fontId="14" fillId="2" borderId="4" xfId="1" applyFont="1" applyFill="1" applyBorder="1" applyAlignment="1">
      <alignment horizontal="center"/>
    </xf>
    <xf numFmtId="0" fontId="14" fillId="2" borderId="2" xfId="0" applyFont="1" applyFill="1" applyBorder="1" applyAlignment="1">
      <alignment horizontal="left" vertical="center" wrapText="1"/>
    </xf>
    <xf numFmtId="0" fontId="14" fillId="2" borderId="22" xfId="0" applyFont="1" applyFill="1" applyBorder="1" applyAlignment="1">
      <alignment horizontal="left" vertical="center" wrapText="1"/>
    </xf>
    <xf numFmtId="0" fontId="14" fillId="2" borderId="23" xfId="0" applyFont="1" applyFill="1" applyBorder="1" applyAlignment="1">
      <alignment horizontal="left" vertical="center" wrapText="1"/>
    </xf>
    <xf numFmtId="0" fontId="14" fillId="2" borderId="24" xfId="0" applyFont="1" applyFill="1" applyBorder="1" applyAlignment="1">
      <alignment horizontal="left" vertical="center" wrapText="1"/>
    </xf>
    <xf numFmtId="0" fontId="58" fillId="10" borderId="2" xfId="0" applyFont="1" applyFill="1" applyBorder="1" applyAlignment="1">
      <alignment wrapText="1"/>
    </xf>
    <xf numFmtId="0" fontId="0" fillId="10" borderId="2" xfId="0" applyFill="1" applyBorder="1" applyAlignment="1">
      <alignment wrapText="1"/>
    </xf>
    <xf numFmtId="0" fontId="64" fillId="0" borderId="0" xfId="0" applyFont="1" applyAlignment="1">
      <alignment horizontal="center"/>
    </xf>
    <xf numFmtId="0" fontId="61" fillId="0" borderId="0" xfId="0" applyFont="1" applyAlignment="1">
      <alignment horizontal="left" vertical="top" wrapText="1"/>
    </xf>
    <xf numFmtId="0" fontId="15" fillId="0" borderId="29" xfId="0" applyFont="1" applyBorder="1" applyAlignment="1">
      <alignment horizontal="center"/>
    </xf>
    <xf numFmtId="0" fontId="63" fillId="0" borderId="0" xfId="0" applyFont="1" applyAlignment="1">
      <alignment horizontal="center"/>
    </xf>
    <xf numFmtId="0" fontId="15" fillId="0" borderId="0" xfId="0" applyFont="1" applyAlignment="1">
      <alignment horizontal="left" vertical="top" wrapText="1"/>
    </xf>
    <xf numFmtId="0" fontId="0" fillId="0" borderId="29" xfId="0" applyBorder="1" applyAlignment="1">
      <alignment horizontal="center"/>
    </xf>
    <xf numFmtId="0" fontId="14" fillId="0" borderId="0" xfId="0" applyFont="1" applyAlignment="1">
      <alignment horizontal="center"/>
    </xf>
    <xf numFmtId="0" fontId="15" fillId="0" borderId="0" xfId="0" applyFont="1" applyAlignment="1">
      <alignment horizontal="left" wrapText="1"/>
    </xf>
    <xf numFmtId="0" fontId="24" fillId="0" borderId="0" xfId="0" applyFont="1" applyAlignment="1">
      <alignment horizontal="left" vertical="top" wrapText="1"/>
    </xf>
    <xf numFmtId="0" fontId="15" fillId="0" borderId="0" xfId="0" applyFont="1" applyAlignment="1">
      <alignment horizontal="center" wrapText="1"/>
    </xf>
    <xf numFmtId="0" fontId="15" fillId="0" borderId="0" xfId="0" applyFont="1" applyAlignment="1">
      <alignment horizontal="center"/>
    </xf>
    <xf numFmtId="0" fontId="15" fillId="0" borderId="0" xfId="0" applyFont="1" applyAlignment="1">
      <alignment vertical="center" wrapText="1"/>
    </xf>
    <xf numFmtId="0" fontId="40" fillId="0" borderId="0" xfId="0" applyFont="1" applyAlignment="1">
      <alignment horizontal="left" wrapText="1"/>
    </xf>
    <xf numFmtId="2" fontId="21" fillId="0" borderId="20" xfId="0" applyNumberFormat="1" applyFont="1" applyBorder="1" applyAlignment="1">
      <alignment horizontal="center" vertical="center" wrapText="1"/>
    </xf>
    <xf numFmtId="2" fontId="21" fillId="0" borderId="4" xfId="0" applyNumberFormat="1" applyFont="1" applyBorder="1" applyAlignment="1">
      <alignment horizontal="center" vertical="center" wrapText="1"/>
    </xf>
    <xf numFmtId="3" fontId="22" fillId="0" borderId="23" xfId="0" applyNumberFormat="1" applyFont="1" applyBorder="1" applyAlignment="1">
      <alignment horizontal="left" vertical="center" wrapText="1"/>
    </xf>
    <xf numFmtId="0" fontId="22" fillId="0" borderId="22" xfId="0" applyFont="1" applyBorder="1" applyAlignment="1">
      <alignment horizontal="center" vertical="center"/>
    </xf>
    <xf numFmtId="0" fontId="22" fillId="0" borderId="24" xfId="0" applyFont="1" applyBorder="1" applyAlignment="1">
      <alignment horizontal="center" vertical="center"/>
    </xf>
    <xf numFmtId="2" fontId="22" fillId="0" borderId="20" xfId="0" applyNumberFormat="1" applyFont="1" applyBorder="1" applyAlignment="1">
      <alignment horizontal="center" vertical="center"/>
    </xf>
    <xf numFmtId="2" fontId="22" fillId="0" borderId="21" xfId="0" applyNumberFormat="1" applyFont="1" applyBorder="1" applyAlignment="1">
      <alignment horizontal="center" vertical="center"/>
    </xf>
    <xf numFmtId="2" fontId="22" fillId="0" borderId="4" xfId="0" applyNumberFormat="1" applyFont="1" applyBorder="1" applyAlignment="1">
      <alignment horizontal="center" vertical="center"/>
    </xf>
    <xf numFmtId="0" fontId="22" fillId="0" borderId="22" xfId="0" applyFont="1" applyBorder="1" applyAlignment="1">
      <alignment horizontal="center"/>
    </xf>
    <xf numFmtId="0" fontId="30" fillId="0" borderId="23" xfId="0" applyFont="1" applyBorder="1" applyAlignment="1">
      <alignment horizontal="center"/>
    </xf>
    <xf numFmtId="0" fontId="30" fillId="0" borderId="24" xfId="0" applyFont="1" applyBorder="1" applyAlignment="1">
      <alignment horizontal="center"/>
    </xf>
    <xf numFmtId="0" fontId="24" fillId="5" borderId="22" xfId="0" applyFont="1" applyFill="1" applyBorder="1" applyAlignment="1">
      <alignment horizontal="center" vertical="center" wrapText="1"/>
    </xf>
    <xf numFmtId="0" fontId="24" fillId="5" borderId="23" xfId="0" applyFont="1" applyFill="1" applyBorder="1" applyAlignment="1">
      <alignment horizontal="center" vertical="center" wrapText="1"/>
    </xf>
    <xf numFmtId="0" fontId="24" fillId="5" borderId="24" xfId="0" applyFont="1" applyFill="1" applyBorder="1" applyAlignment="1">
      <alignment horizontal="center" vertical="center" wrapText="1"/>
    </xf>
    <xf numFmtId="0" fontId="41" fillId="0" borderId="25" xfId="0" applyFont="1" applyBorder="1" applyAlignment="1">
      <alignment horizontal="left"/>
    </xf>
    <xf numFmtId="0" fontId="41" fillId="0" borderId="0" xfId="0" applyFont="1" applyAlignment="1">
      <alignment horizontal="left"/>
    </xf>
    <xf numFmtId="0" fontId="41" fillId="0" borderId="15" xfId="0" applyFont="1" applyBorder="1" applyAlignment="1">
      <alignment horizontal="left"/>
    </xf>
    <xf numFmtId="0" fontId="41" fillId="0" borderId="27" xfId="0" applyFont="1" applyBorder="1" applyAlignment="1">
      <alignment horizontal="left"/>
    </xf>
    <xf numFmtId="0" fontId="24" fillId="5" borderId="20" xfId="0" applyFont="1" applyFill="1" applyBorder="1" applyAlignment="1">
      <alignment horizontal="center" vertical="center" wrapText="1"/>
    </xf>
    <xf numFmtId="0" fontId="24" fillId="5" borderId="4" xfId="0" applyFont="1" applyFill="1" applyBorder="1" applyAlignment="1">
      <alignment horizontal="center" vertical="center" wrapText="1"/>
    </xf>
    <xf numFmtId="41" fontId="15" fillId="0" borderId="20" xfId="0" applyNumberFormat="1" applyFont="1" applyBorder="1" applyAlignment="1">
      <alignment horizontal="left" vertical="center" wrapText="1"/>
    </xf>
    <xf numFmtId="41" fontId="15" fillId="0" borderId="4" xfId="0" applyNumberFormat="1" applyFont="1" applyBorder="1" applyAlignment="1">
      <alignment horizontal="left" vertical="center" wrapText="1"/>
    </xf>
    <xf numFmtId="0" fontId="15" fillId="0" borderId="20" xfId="0" applyFont="1" applyBorder="1" applyAlignment="1">
      <alignment horizontal="center" vertical="center" wrapText="1"/>
    </xf>
    <xf numFmtId="0" fontId="15" fillId="0" borderId="4" xfId="0" applyFont="1" applyBorder="1" applyAlignment="1">
      <alignment horizontal="center" vertical="center" wrapText="1"/>
    </xf>
    <xf numFmtId="1" fontId="15" fillId="0" borderId="20" xfId="0" applyNumberFormat="1" applyFont="1" applyBorder="1" applyAlignment="1" applyProtection="1">
      <alignment horizontal="center" vertical="center" wrapText="1"/>
      <protection locked="0"/>
    </xf>
    <xf numFmtId="1" fontId="15" fillId="0" borderId="4" xfId="0" applyNumberFormat="1" applyFont="1" applyBorder="1" applyAlignment="1" applyProtection="1">
      <alignment horizontal="center" vertical="center" wrapText="1"/>
      <protection locked="0"/>
    </xf>
    <xf numFmtId="2" fontId="15" fillId="0" borderId="28" xfId="0" applyNumberFormat="1" applyFont="1" applyBorder="1" applyAlignment="1" applyProtection="1">
      <alignment horizontal="center" vertical="center" wrapText="1"/>
      <protection locked="0"/>
    </xf>
    <xf numFmtId="2" fontId="15" fillId="0" borderId="4" xfId="0" applyNumberFormat="1" applyFont="1" applyBorder="1" applyAlignment="1" applyProtection="1">
      <alignment horizontal="center" vertical="center" wrapText="1"/>
      <protection locked="0"/>
    </xf>
    <xf numFmtId="1" fontId="15" fillId="0" borderId="23" xfId="0" applyNumberFormat="1" applyFont="1" applyBorder="1" applyAlignment="1" applyProtection="1">
      <alignment horizontal="center" vertical="center" wrapText="1"/>
      <protection locked="0"/>
    </xf>
    <xf numFmtId="0" fontId="15" fillId="0" borderId="22" xfId="0" applyFont="1" applyBorder="1" applyAlignment="1">
      <alignment horizontal="right"/>
    </xf>
    <xf numFmtId="0" fontId="15" fillId="0" borderId="23" xfId="0" applyFont="1" applyBorder="1" applyAlignment="1">
      <alignment horizontal="right"/>
    </xf>
    <xf numFmtId="2" fontId="34" fillId="0" borderId="15" xfId="0" applyNumberFormat="1" applyFont="1" applyBorder="1" applyAlignment="1">
      <alignment horizontal="center" vertical="center" wrapText="1"/>
    </xf>
    <xf numFmtId="0" fontId="34" fillId="0" borderId="16" xfId="0" applyFont="1" applyBorder="1" applyAlignment="1">
      <alignment horizontal="center" vertical="center" wrapText="1"/>
    </xf>
    <xf numFmtId="0" fontId="34" fillId="0" borderId="27" xfId="0" applyFont="1" applyBorder="1" applyAlignment="1">
      <alignment horizontal="right" vertical="center" wrapText="1"/>
    </xf>
    <xf numFmtId="0" fontId="34" fillId="0" borderId="44" xfId="0" applyFont="1" applyBorder="1" applyAlignment="1">
      <alignment horizontal="right" vertical="center" wrapText="1"/>
    </xf>
    <xf numFmtId="0" fontId="34" fillId="0" borderId="40" xfId="0" applyFont="1" applyBorder="1" applyAlignment="1">
      <alignment horizontal="center" vertical="center" wrapText="1"/>
    </xf>
    <xf numFmtId="0" fontId="34" fillId="0" borderId="32" xfId="0" applyFont="1" applyBorder="1" applyAlignment="1">
      <alignment horizontal="center" vertical="center" wrapText="1"/>
    </xf>
    <xf numFmtId="0" fontId="34" fillId="0" borderId="19" xfId="0" applyFont="1" applyBorder="1" applyAlignment="1">
      <alignment horizontal="center" vertical="center" wrapText="1"/>
    </xf>
    <xf numFmtId="4" fontId="42" fillId="0" borderId="8" xfId="0" applyNumberFormat="1" applyFont="1" applyBorder="1" applyAlignment="1">
      <alignment horizontal="center" vertical="center" wrapText="1"/>
    </xf>
    <xf numFmtId="4" fontId="42" fillId="0" borderId="9" xfId="0" applyNumberFormat="1" applyFont="1" applyBorder="1" applyAlignment="1">
      <alignment horizontal="center" vertical="center" wrapText="1"/>
    </xf>
    <xf numFmtId="3" fontId="35" fillId="0" borderId="3" xfId="0" applyNumberFormat="1" applyFont="1" applyBorder="1" applyAlignment="1">
      <alignment horizontal="center" vertical="center" wrapText="1"/>
    </xf>
    <xf numFmtId="0" fontId="35" fillId="0" borderId="1" xfId="0" applyFont="1" applyBorder="1" applyAlignment="1">
      <alignment horizontal="center" vertical="center" wrapText="1"/>
    </xf>
    <xf numFmtId="0" fontId="35" fillId="0" borderId="2" xfId="0" applyFont="1" applyBorder="1" applyAlignment="1">
      <alignment horizontal="center" vertical="center" wrapText="1"/>
    </xf>
    <xf numFmtId="3" fontId="35" fillId="0" borderId="22" xfId="0" applyNumberFormat="1" applyFont="1" applyBorder="1" applyAlignment="1">
      <alignment horizontal="center" vertical="center" wrapText="1"/>
    </xf>
    <xf numFmtId="0" fontId="34" fillId="0" borderId="1" xfId="0" applyFont="1" applyBorder="1" applyAlignment="1">
      <alignment horizontal="center" vertical="center" wrapText="1"/>
    </xf>
    <xf numFmtId="2" fontId="35" fillId="0" borderId="2" xfId="0" applyNumberFormat="1" applyFont="1" applyBorder="1" applyAlignment="1">
      <alignment horizontal="center" vertical="center"/>
    </xf>
    <xf numFmtId="0" fontId="35" fillId="0" borderId="2" xfId="0" applyFont="1" applyBorder="1" applyAlignment="1">
      <alignment horizontal="center" vertical="center"/>
    </xf>
    <xf numFmtId="0" fontId="34" fillId="0" borderId="25" xfId="0" applyFont="1" applyBorder="1" applyAlignment="1">
      <alignment horizontal="center" vertical="center" wrapText="1"/>
    </xf>
    <xf numFmtId="0" fontId="34" fillId="0" borderId="26" xfId="0" applyFont="1" applyBorder="1" applyAlignment="1">
      <alignment horizontal="center" vertical="center" wrapText="1"/>
    </xf>
    <xf numFmtId="0" fontId="34" fillId="7" borderId="34" xfId="0" applyFont="1" applyFill="1" applyBorder="1" applyAlignment="1">
      <alignment horizontal="center" vertical="center" wrapText="1"/>
    </xf>
    <xf numFmtId="0" fontId="34" fillId="7" borderId="35" xfId="0" applyFont="1" applyFill="1" applyBorder="1" applyAlignment="1">
      <alignment horizontal="center" vertical="center" wrapText="1"/>
    </xf>
    <xf numFmtId="0" fontId="34" fillId="7" borderId="36" xfId="0" applyFont="1" applyFill="1" applyBorder="1" applyAlignment="1">
      <alignment horizontal="center" vertical="center" wrapText="1"/>
    </xf>
    <xf numFmtId="0" fontId="34" fillId="7" borderId="1" xfId="0" applyFont="1" applyFill="1" applyBorder="1" applyAlignment="1">
      <alignment horizontal="center" vertical="center" wrapText="1"/>
    </xf>
    <xf numFmtId="0" fontId="34" fillId="7" borderId="2" xfId="0" applyFont="1" applyFill="1" applyBorder="1" applyAlignment="1">
      <alignment horizontal="center" vertical="center" wrapText="1"/>
    </xf>
    <xf numFmtId="0" fontId="34" fillId="7" borderId="37" xfId="0" applyFont="1" applyFill="1" applyBorder="1" applyAlignment="1">
      <alignment horizontal="center" vertical="center" wrapText="1"/>
    </xf>
    <xf numFmtId="0" fontId="44" fillId="8" borderId="13" xfId="0" applyFont="1" applyFill="1" applyBorder="1" applyAlignment="1">
      <alignment horizontal="left" vertical="center"/>
    </xf>
    <xf numFmtId="0" fontId="44" fillId="8" borderId="0" xfId="0" applyFont="1" applyFill="1" applyAlignment="1">
      <alignment horizontal="left" vertical="center"/>
    </xf>
    <xf numFmtId="0" fontId="45" fillId="0" borderId="19" xfId="0" applyFont="1" applyBorder="1" applyAlignment="1">
      <alignment horizontal="center"/>
    </xf>
    <xf numFmtId="0" fontId="44" fillId="8" borderId="34" xfId="0" applyFont="1" applyFill="1" applyBorder="1" applyAlignment="1">
      <alignment horizontal="center" vertical="center" wrapText="1"/>
    </xf>
    <xf numFmtId="0" fontId="44" fillId="8" borderId="1" xfId="0" applyFont="1" applyFill="1" applyBorder="1" applyAlignment="1">
      <alignment horizontal="center" vertical="center" wrapText="1"/>
    </xf>
    <xf numFmtId="0" fontId="44" fillId="8" borderId="35" xfId="0" applyFont="1" applyFill="1" applyBorder="1" applyAlignment="1">
      <alignment horizontal="center" vertical="center" wrapText="1"/>
    </xf>
    <xf numFmtId="0" fontId="44" fillId="8" borderId="2" xfId="0" applyFont="1" applyFill="1" applyBorder="1" applyAlignment="1">
      <alignment horizontal="center" vertical="center" wrapText="1"/>
    </xf>
    <xf numFmtId="0" fontId="44" fillId="8" borderId="35" xfId="0" applyFont="1" applyFill="1" applyBorder="1" applyAlignment="1">
      <alignment horizontal="center" wrapText="1"/>
    </xf>
    <xf numFmtId="0" fontId="44" fillId="8" borderId="36" xfId="0" applyFont="1" applyFill="1" applyBorder="1" applyAlignment="1">
      <alignment horizontal="center" wrapText="1"/>
    </xf>
    <xf numFmtId="0" fontId="44" fillId="8" borderId="3" xfId="0" applyFont="1" applyFill="1" applyBorder="1" applyAlignment="1">
      <alignment horizontal="center" wrapText="1"/>
    </xf>
  </cellXfs>
  <cellStyles count="3">
    <cellStyle name="Comma" xfId="1" builtinId="3"/>
    <cellStyle name="Comma 2" xfId="2"/>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1</xdr:col>
      <xdr:colOff>114301</xdr:colOff>
      <xdr:row>4</xdr:row>
      <xdr:rowOff>135256</xdr:rowOff>
    </xdr:from>
    <xdr:to>
      <xdr:col>1</xdr:col>
      <xdr:colOff>171451</xdr:colOff>
      <xdr:row>4</xdr:row>
      <xdr:rowOff>180975</xdr:rowOff>
    </xdr:to>
    <xdr:sp macro="" textlink="">
      <xdr:nvSpPr>
        <xdr:cNvPr id="2" name="Right Arrow 1">
          <a:extLst>
            <a:ext uri="{FF2B5EF4-FFF2-40B4-BE49-F238E27FC236}">
              <a16:creationId xmlns:a16="http://schemas.microsoft.com/office/drawing/2014/main" xmlns="" id="{00000000-0008-0000-0400-000002000000}"/>
            </a:ext>
          </a:extLst>
        </xdr:cNvPr>
        <xdr:cNvSpPr/>
      </xdr:nvSpPr>
      <xdr:spPr>
        <a:xfrm flipV="1">
          <a:off x="533401" y="1583056"/>
          <a:ext cx="57150"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t>cp</a:t>
          </a:r>
        </a:p>
        <a:p>
          <a:pPr algn="ctr"/>
          <a:endParaRPr lang="en-US" sz="1100"/>
        </a:p>
      </xdr:txBody>
    </xdr:sp>
    <xdr:clientData/>
  </xdr:twoCellAnchor>
  <xdr:twoCellAnchor>
    <xdr:from>
      <xdr:col>1</xdr:col>
      <xdr:colOff>114301</xdr:colOff>
      <xdr:row>5</xdr:row>
      <xdr:rowOff>135256</xdr:rowOff>
    </xdr:from>
    <xdr:to>
      <xdr:col>1</xdr:col>
      <xdr:colOff>171451</xdr:colOff>
      <xdr:row>5</xdr:row>
      <xdr:rowOff>180975</xdr:rowOff>
    </xdr:to>
    <xdr:sp macro="" textlink="">
      <xdr:nvSpPr>
        <xdr:cNvPr id="8" name="Right Arrow 7">
          <a:extLst>
            <a:ext uri="{FF2B5EF4-FFF2-40B4-BE49-F238E27FC236}">
              <a16:creationId xmlns:a16="http://schemas.microsoft.com/office/drawing/2014/main" xmlns="" id="{00000000-0008-0000-0400-000008000000}"/>
            </a:ext>
          </a:extLst>
        </xdr:cNvPr>
        <xdr:cNvSpPr/>
      </xdr:nvSpPr>
      <xdr:spPr>
        <a:xfrm flipV="1">
          <a:off x="533401" y="1583056"/>
          <a:ext cx="57150"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t>cp</a:t>
          </a:r>
        </a:p>
        <a:p>
          <a:pPr algn="ctr"/>
          <a:endParaRPr lang="en-US" sz="1100"/>
        </a:p>
      </xdr:txBody>
    </xdr:sp>
    <xdr:clientData/>
  </xdr:twoCellAnchor>
  <xdr:twoCellAnchor>
    <xdr:from>
      <xdr:col>1</xdr:col>
      <xdr:colOff>104775</xdr:colOff>
      <xdr:row>7</xdr:row>
      <xdr:rowOff>152400</xdr:rowOff>
    </xdr:from>
    <xdr:to>
      <xdr:col>1</xdr:col>
      <xdr:colOff>161925</xdr:colOff>
      <xdr:row>7</xdr:row>
      <xdr:rowOff>198119</xdr:rowOff>
    </xdr:to>
    <xdr:sp macro="" textlink="">
      <xdr:nvSpPr>
        <xdr:cNvPr id="15" name="Right Arrow 14">
          <a:extLst>
            <a:ext uri="{FF2B5EF4-FFF2-40B4-BE49-F238E27FC236}">
              <a16:creationId xmlns:a16="http://schemas.microsoft.com/office/drawing/2014/main" xmlns="" id="{00000000-0008-0000-0400-00000F000000}"/>
            </a:ext>
          </a:extLst>
        </xdr:cNvPr>
        <xdr:cNvSpPr/>
      </xdr:nvSpPr>
      <xdr:spPr>
        <a:xfrm flipV="1">
          <a:off x="552450" y="2705100"/>
          <a:ext cx="57150"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t>cp</a:t>
          </a:r>
        </a:p>
        <a:p>
          <a:pPr algn="ctr"/>
          <a:endParaRPr lang="en-US" sz="1100"/>
        </a:p>
      </xdr:txBody>
    </xdr:sp>
    <xdr:clientData/>
  </xdr:twoCellAnchor>
  <xdr:twoCellAnchor>
    <xdr:from>
      <xdr:col>1</xdr:col>
      <xdr:colOff>114300</xdr:colOff>
      <xdr:row>6</xdr:row>
      <xdr:rowOff>114300</xdr:rowOff>
    </xdr:from>
    <xdr:to>
      <xdr:col>1</xdr:col>
      <xdr:colOff>171450</xdr:colOff>
      <xdr:row>6</xdr:row>
      <xdr:rowOff>160019</xdr:rowOff>
    </xdr:to>
    <xdr:sp macro="" textlink="">
      <xdr:nvSpPr>
        <xdr:cNvPr id="16" name="Right Arrow 15">
          <a:extLst>
            <a:ext uri="{FF2B5EF4-FFF2-40B4-BE49-F238E27FC236}">
              <a16:creationId xmlns:a16="http://schemas.microsoft.com/office/drawing/2014/main" xmlns="" id="{00000000-0008-0000-0400-000010000000}"/>
            </a:ext>
          </a:extLst>
        </xdr:cNvPr>
        <xdr:cNvSpPr/>
      </xdr:nvSpPr>
      <xdr:spPr>
        <a:xfrm flipV="1">
          <a:off x="561975" y="2352675"/>
          <a:ext cx="57150"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t>cp</a:t>
          </a:r>
        </a:p>
        <a:p>
          <a:pPr algn="ctr"/>
          <a:endParaRPr lang="en-US" sz="1100"/>
        </a:p>
      </xdr:txBody>
    </xdr:sp>
    <xdr:clientData/>
  </xdr:twoCellAnchor>
  <xdr:twoCellAnchor>
    <xdr:from>
      <xdr:col>1</xdr:col>
      <xdr:colOff>104775</xdr:colOff>
      <xdr:row>8</xdr:row>
      <xdr:rowOff>133350</xdr:rowOff>
    </xdr:from>
    <xdr:to>
      <xdr:col>1</xdr:col>
      <xdr:colOff>161925</xdr:colOff>
      <xdr:row>8</xdr:row>
      <xdr:rowOff>179069</xdr:rowOff>
    </xdr:to>
    <xdr:sp macro="" textlink="">
      <xdr:nvSpPr>
        <xdr:cNvPr id="7" name="Right Arrow 6">
          <a:extLst>
            <a:ext uri="{FF2B5EF4-FFF2-40B4-BE49-F238E27FC236}">
              <a16:creationId xmlns:a16="http://schemas.microsoft.com/office/drawing/2014/main" xmlns="" id="{00000000-0008-0000-0400-000007000000}"/>
            </a:ext>
          </a:extLst>
        </xdr:cNvPr>
        <xdr:cNvSpPr/>
      </xdr:nvSpPr>
      <xdr:spPr>
        <a:xfrm flipV="1">
          <a:off x="552450" y="2686050"/>
          <a:ext cx="57150" cy="45719"/>
        </a:xfrm>
        <a:prstGeom prst="rightArrow">
          <a:avLst/>
        </a:prstGeom>
        <a:solidFill>
          <a:srgbClr val="4F81BD"/>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a:ea typeface="+mn-ea"/>
              <a:cs typeface="+mn-cs"/>
            </a:rPr>
            <a:t>cp</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a:ea typeface="+mn-ea"/>
            <a:cs typeface="+mn-cs"/>
          </a:endParaRPr>
        </a:p>
      </xdr:txBody>
    </xdr:sp>
    <xdr:clientData/>
  </xdr:twoCellAnchor>
  <xdr:twoCellAnchor>
    <xdr:from>
      <xdr:col>1</xdr:col>
      <xdr:colOff>123825</xdr:colOff>
      <xdr:row>9</xdr:row>
      <xdr:rowOff>85725</xdr:rowOff>
    </xdr:from>
    <xdr:to>
      <xdr:col>1</xdr:col>
      <xdr:colOff>180975</xdr:colOff>
      <xdr:row>9</xdr:row>
      <xdr:rowOff>131444</xdr:rowOff>
    </xdr:to>
    <xdr:sp macro="" textlink="">
      <xdr:nvSpPr>
        <xdr:cNvPr id="9" name="Right Arrow 8">
          <a:extLst>
            <a:ext uri="{FF2B5EF4-FFF2-40B4-BE49-F238E27FC236}">
              <a16:creationId xmlns:a16="http://schemas.microsoft.com/office/drawing/2014/main" xmlns="" id="{00000000-0008-0000-0400-000009000000}"/>
            </a:ext>
          </a:extLst>
        </xdr:cNvPr>
        <xdr:cNvSpPr/>
      </xdr:nvSpPr>
      <xdr:spPr>
        <a:xfrm flipV="1">
          <a:off x="571500" y="2943225"/>
          <a:ext cx="57150" cy="45719"/>
        </a:xfrm>
        <a:prstGeom prst="rightArrow">
          <a:avLst/>
        </a:prstGeom>
        <a:solidFill>
          <a:srgbClr val="4F81BD"/>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a:ea typeface="+mn-ea"/>
              <a:cs typeface="+mn-cs"/>
            </a:rPr>
            <a:t>cp</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257175</xdr:colOff>
          <xdr:row>16</xdr:row>
          <xdr:rowOff>9525</xdr:rowOff>
        </xdr:from>
        <xdr:to>
          <xdr:col>1</xdr:col>
          <xdr:colOff>590550</xdr:colOff>
          <xdr:row>16</xdr:row>
          <xdr:rowOff>171450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xmlns="" id="{00000000-0008-0000-07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257175</xdr:colOff>
          <xdr:row>17</xdr:row>
          <xdr:rowOff>9525</xdr:rowOff>
        </xdr:from>
        <xdr:to>
          <xdr:col>1</xdr:col>
          <xdr:colOff>590550</xdr:colOff>
          <xdr:row>17</xdr:row>
          <xdr:rowOff>171450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xmlns="" id="{00000000-0008-0000-07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257175</xdr:colOff>
          <xdr:row>18</xdr:row>
          <xdr:rowOff>9525</xdr:rowOff>
        </xdr:from>
        <xdr:to>
          <xdr:col>1</xdr:col>
          <xdr:colOff>590550</xdr:colOff>
          <xdr:row>18</xdr:row>
          <xdr:rowOff>171450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xmlns="" id="{00000000-0008-0000-07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257175</xdr:colOff>
          <xdr:row>19</xdr:row>
          <xdr:rowOff>9525</xdr:rowOff>
        </xdr:from>
        <xdr:to>
          <xdr:col>1</xdr:col>
          <xdr:colOff>590550</xdr:colOff>
          <xdr:row>19</xdr:row>
          <xdr:rowOff>171450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xmlns="" id="{00000000-0008-0000-07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257175</xdr:colOff>
          <xdr:row>20</xdr:row>
          <xdr:rowOff>9525</xdr:rowOff>
        </xdr:from>
        <xdr:to>
          <xdr:col>1</xdr:col>
          <xdr:colOff>590550</xdr:colOff>
          <xdr:row>20</xdr:row>
          <xdr:rowOff>171450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xmlns="" id="{00000000-0008-0000-07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257175</xdr:colOff>
          <xdr:row>21</xdr:row>
          <xdr:rowOff>9525</xdr:rowOff>
        </xdr:from>
        <xdr:to>
          <xdr:col>1</xdr:col>
          <xdr:colOff>590550</xdr:colOff>
          <xdr:row>21</xdr:row>
          <xdr:rowOff>171450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xmlns="" id="{00000000-0008-0000-07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257175</xdr:colOff>
          <xdr:row>22</xdr:row>
          <xdr:rowOff>9525</xdr:rowOff>
        </xdr:from>
        <xdr:to>
          <xdr:col>1</xdr:col>
          <xdr:colOff>590550</xdr:colOff>
          <xdr:row>22</xdr:row>
          <xdr:rowOff>171450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xmlns="" id="{00000000-0008-0000-07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257175</xdr:colOff>
          <xdr:row>23</xdr:row>
          <xdr:rowOff>9525</xdr:rowOff>
        </xdr:from>
        <xdr:to>
          <xdr:col>1</xdr:col>
          <xdr:colOff>590550</xdr:colOff>
          <xdr:row>23</xdr:row>
          <xdr:rowOff>171450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xmlns="" id="{00000000-0008-0000-07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257175</xdr:colOff>
          <xdr:row>16</xdr:row>
          <xdr:rowOff>9525</xdr:rowOff>
        </xdr:from>
        <xdr:to>
          <xdr:col>3</xdr:col>
          <xdr:colOff>590550</xdr:colOff>
          <xdr:row>16</xdr:row>
          <xdr:rowOff>171450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xmlns="" id="{00000000-0008-0000-07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257175</xdr:colOff>
          <xdr:row>17</xdr:row>
          <xdr:rowOff>9525</xdr:rowOff>
        </xdr:from>
        <xdr:to>
          <xdr:col>3</xdr:col>
          <xdr:colOff>590550</xdr:colOff>
          <xdr:row>17</xdr:row>
          <xdr:rowOff>171450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xmlns="" id="{00000000-0008-0000-07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257175</xdr:colOff>
          <xdr:row>18</xdr:row>
          <xdr:rowOff>9525</xdr:rowOff>
        </xdr:from>
        <xdr:to>
          <xdr:col>3</xdr:col>
          <xdr:colOff>590550</xdr:colOff>
          <xdr:row>18</xdr:row>
          <xdr:rowOff>171450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xmlns="" id="{00000000-0008-0000-07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257175</xdr:colOff>
          <xdr:row>19</xdr:row>
          <xdr:rowOff>9525</xdr:rowOff>
        </xdr:from>
        <xdr:to>
          <xdr:col>3</xdr:col>
          <xdr:colOff>590550</xdr:colOff>
          <xdr:row>19</xdr:row>
          <xdr:rowOff>171450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xmlns="" id="{00000000-0008-0000-07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257175</xdr:colOff>
          <xdr:row>20</xdr:row>
          <xdr:rowOff>9525</xdr:rowOff>
        </xdr:from>
        <xdr:to>
          <xdr:col>3</xdr:col>
          <xdr:colOff>590550</xdr:colOff>
          <xdr:row>20</xdr:row>
          <xdr:rowOff>171450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xmlns="" id="{00000000-0008-0000-07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257175</xdr:colOff>
          <xdr:row>21</xdr:row>
          <xdr:rowOff>9525</xdr:rowOff>
        </xdr:from>
        <xdr:to>
          <xdr:col>3</xdr:col>
          <xdr:colOff>590550</xdr:colOff>
          <xdr:row>21</xdr:row>
          <xdr:rowOff>171450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xmlns="" id="{00000000-0008-0000-07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257175</xdr:colOff>
          <xdr:row>22</xdr:row>
          <xdr:rowOff>9525</xdr:rowOff>
        </xdr:from>
        <xdr:to>
          <xdr:col>3</xdr:col>
          <xdr:colOff>590550</xdr:colOff>
          <xdr:row>22</xdr:row>
          <xdr:rowOff>171450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xmlns="" id="{00000000-0008-0000-07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257175</xdr:colOff>
          <xdr:row>13</xdr:row>
          <xdr:rowOff>9525</xdr:rowOff>
        </xdr:from>
        <xdr:to>
          <xdr:col>1</xdr:col>
          <xdr:colOff>590550</xdr:colOff>
          <xdr:row>13</xdr:row>
          <xdr:rowOff>171450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xmlns="" id="{00000000-0008-0000-07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257175</xdr:colOff>
          <xdr:row>14</xdr:row>
          <xdr:rowOff>9525</xdr:rowOff>
        </xdr:from>
        <xdr:to>
          <xdr:col>1</xdr:col>
          <xdr:colOff>590550</xdr:colOff>
          <xdr:row>14</xdr:row>
          <xdr:rowOff>171450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xmlns="" id="{00000000-0008-0000-07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13</xdr:row>
          <xdr:rowOff>9525</xdr:rowOff>
        </xdr:from>
        <xdr:to>
          <xdr:col>4</xdr:col>
          <xdr:colOff>590550</xdr:colOff>
          <xdr:row>13</xdr:row>
          <xdr:rowOff>171450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xmlns="" id="{00000000-0008-0000-07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14</xdr:row>
          <xdr:rowOff>9525</xdr:rowOff>
        </xdr:from>
        <xdr:to>
          <xdr:col>4</xdr:col>
          <xdr:colOff>590550</xdr:colOff>
          <xdr:row>14</xdr:row>
          <xdr:rowOff>171450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xmlns="" id="{00000000-0008-0000-07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257175</xdr:colOff>
          <xdr:row>13</xdr:row>
          <xdr:rowOff>9525</xdr:rowOff>
        </xdr:from>
        <xdr:to>
          <xdr:col>6</xdr:col>
          <xdr:colOff>590550</xdr:colOff>
          <xdr:row>13</xdr:row>
          <xdr:rowOff>171450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xmlns="" id="{00000000-0008-0000-07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257175</xdr:colOff>
          <xdr:row>20</xdr:row>
          <xdr:rowOff>9525</xdr:rowOff>
        </xdr:from>
        <xdr:to>
          <xdr:col>6</xdr:col>
          <xdr:colOff>590550</xdr:colOff>
          <xdr:row>20</xdr:row>
          <xdr:rowOff>171450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xmlns="" id="{00000000-0008-0000-07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19</xdr:row>
          <xdr:rowOff>9525</xdr:rowOff>
        </xdr:from>
        <xdr:to>
          <xdr:col>5</xdr:col>
          <xdr:colOff>590550</xdr:colOff>
          <xdr:row>19</xdr:row>
          <xdr:rowOff>171450</xdr:rowOff>
        </xdr:to>
        <xdr:sp macro="" textlink="">
          <xdr:nvSpPr>
            <xdr:cNvPr id="4121" name="Check Box 25" hidden="1">
              <a:extLst>
                <a:ext uri="{63B3BB69-23CF-44E3-9099-C40C66FF867C}">
                  <a14:compatExt spid="_x0000_s4121"/>
                </a:ext>
                <a:ext uri="{FF2B5EF4-FFF2-40B4-BE49-F238E27FC236}">
                  <a16:creationId xmlns:a16="http://schemas.microsoft.com/office/drawing/2014/main" xmlns="" id="{00000000-0008-0000-0700-00001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21</xdr:row>
          <xdr:rowOff>9525</xdr:rowOff>
        </xdr:from>
        <xdr:to>
          <xdr:col>5</xdr:col>
          <xdr:colOff>590550</xdr:colOff>
          <xdr:row>21</xdr:row>
          <xdr:rowOff>171450</xdr:rowOff>
        </xdr:to>
        <xdr:sp macro="" textlink="">
          <xdr:nvSpPr>
            <xdr:cNvPr id="4122" name="Check Box 26" hidden="1">
              <a:extLst>
                <a:ext uri="{63B3BB69-23CF-44E3-9099-C40C66FF867C}">
                  <a14:compatExt spid="_x0000_s4122"/>
                </a:ext>
                <a:ext uri="{FF2B5EF4-FFF2-40B4-BE49-F238E27FC236}">
                  <a16:creationId xmlns:a16="http://schemas.microsoft.com/office/drawing/2014/main" xmlns="" id="{00000000-0008-0000-0700-00001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257175</xdr:colOff>
          <xdr:row>19</xdr:row>
          <xdr:rowOff>9525</xdr:rowOff>
        </xdr:from>
        <xdr:to>
          <xdr:col>7</xdr:col>
          <xdr:colOff>590550</xdr:colOff>
          <xdr:row>19</xdr:row>
          <xdr:rowOff>171450</xdr:rowOff>
        </xdr:to>
        <xdr:sp macro="" textlink="">
          <xdr:nvSpPr>
            <xdr:cNvPr id="4123" name="Check Box 27" hidden="1">
              <a:extLst>
                <a:ext uri="{63B3BB69-23CF-44E3-9099-C40C66FF867C}">
                  <a14:compatExt spid="_x0000_s4123"/>
                </a:ext>
                <a:ext uri="{FF2B5EF4-FFF2-40B4-BE49-F238E27FC236}">
                  <a16:creationId xmlns:a16="http://schemas.microsoft.com/office/drawing/2014/main" xmlns="" id="{00000000-0008-0000-0700-00001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257175</xdr:colOff>
          <xdr:row>46</xdr:row>
          <xdr:rowOff>9525</xdr:rowOff>
        </xdr:from>
        <xdr:to>
          <xdr:col>0</xdr:col>
          <xdr:colOff>590550</xdr:colOff>
          <xdr:row>46</xdr:row>
          <xdr:rowOff>171450</xdr:rowOff>
        </xdr:to>
        <xdr:sp macro="" textlink="">
          <xdr:nvSpPr>
            <xdr:cNvPr id="4124" name="Check Box 28" hidden="1">
              <a:extLst>
                <a:ext uri="{63B3BB69-23CF-44E3-9099-C40C66FF867C}">
                  <a14:compatExt spid="_x0000_s4124"/>
                </a:ext>
                <a:ext uri="{FF2B5EF4-FFF2-40B4-BE49-F238E27FC236}">
                  <a16:creationId xmlns:a16="http://schemas.microsoft.com/office/drawing/2014/main" xmlns="" id="{00000000-0008-0000-0700-00001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257175</xdr:colOff>
          <xdr:row>47</xdr:row>
          <xdr:rowOff>9525</xdr:rowOff>
        </xdr:from>
        <xdr:to>
          <xdr:col>0</xdr:col>
          <xdr:colOff>590550</xdr:colOff>
          <xdr:row>47</xdr:row>
          <xdr:rowOff>171450</xdr:rowOff>
        </xdr:to>
        <xdr:sp macro="" textlink="">
          <xdr:nvSpPr>
            <xdr:cNvPr id="4125" name="Check Box 29" hidden="1">
              <a:extLst>
                <a:ext uri="{63B3BB69-23CF-44E3-9099-C40C66FF867C}">
                  <a14:compatExt spid="_x0000_s4125"/>
                </a:ext>
                <a:ext uri="{FF2B5EF4-FFF2-40B4-BE49-F238E27FC236}">
                  <a16:creationId xmlns:a16="http://schemas.microsoft.com/office/drawing/2014/main" xmlns="" id="{00000000-0008-0000-0700-00001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123825</xdr:colOff>
          <xdr:row>24</xdr:row>
          <xdr:rowOff>0</xdr:rowOff>
        </xdr:from>
        <xdr:to>
          <xdr:col>3</xdr:col>
          <xdr:colOff>276225</xdr:colOff>
          <xdr:row>25</xdr:row>
          <xdr:rowOff>57150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xmlns="" id="{00000000-0008-0000-08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Earthen Road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47625</xdr:colOff>
          <xdr:row>25</xdr:row>
          <xdr:rowOff>0</xdr:rowOff>
        </xdr:from>
        <xdr:to>
          <xdr:col>2</xdr:col>
          <xdr:colOff>152400</xdr:colOff>
          <xdr:row>25</xdr:row>
          <xdr:rowOff>219075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xmlns="" id="{00000000-0008-0000-08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Foot Trail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24</xdr:row>
          <xdr:rowOff>0</xdr:rowOff>
        </xdr:from>
        <xdr:to>
          <xdr:col>8</xdr:col>
          <xdr:colOff>66675</xdr:colOff>
          <xdr:row>25</xdr:row>
          <xdr:rowOff>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xmlns="" id="{00000000-0008-0000-0800-000009040000}"/>
                </a:ext>
              </a:extLst>
            </xdr:cNvPr>
            <xdr:cNvSpPr/>
          </xdr:nvSpPr>
          <xdr:spPr bwMode="auto">
            <a:xfrm>
              <a:off x="0" y="0"/>
              <a:ext cx="0" cy="0"/>
            </a:xfrm>
            <a:prstGeom prst="rect">
              <a:avLst/>
            </a:prstGeom>
            <a:noFill/>
            <a:ln w="9525">
              <a:solidFill>
                <a:srgbClr val="FFFFFF" mc:Ignorable="a14" a14:legacySpreadsheetColorIndex="9"/>
              </a:solidFill>
              <a:miter lim="800000"/>
              <a:headEnd/>
              <a:tailEnd/>
            </a:ln>
            <a:extLst>
              <a:ext uri="{909E8E84-426E-40DD-AFC4-6F175D3DCCD1}">
                <a14:hiddenFill>
                  <a:solidFill>
                    <a:srgbClr val="FFFFFF" mc:Ignorable="a14" a14:legacySpreadsheetColorIndex="65"/>
                  </a:solidFill>
                </a14:hiddenFill>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Concrete Slab Road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24</xdr:row>
          <xdr:rowOff>0</xdr:rowOff>
        </xdr:from>
        <xdr:to>
          <xdr:col>3</xdr:col>
          <xdr:colOff>276225</xdr:colOff>
          <xdr:row>25</xdr:row>
          <xdr:rowOff>57150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xmlns="" id="{00000000-0008-0000-08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Earthen Road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47625</xdr:colOff>
          <xdr:row>25</xdr:row>
          <xdr:rowOff>0</xdr:rowOff>
        </xdr:from>
        <xdr:to>
          <xdr:col>2</xdr:col>
          <xdr:colOff>152400</xdr:colOff>
          <xdr:row>25</xdr:row>
          <xdr:rowOff>219075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xmlns="" id="{00000000-0008-0000-08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Foot Trail</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ream%20Project/Valuation/Maitidevi/Arya%20Tara%20Travels/Ary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Put"/>
      <sheetName val="TOC"/>
      <sheetName val="Synopsis"/>
      <sheetName val="Location"/>
      <sheetName val="Importance"/>
      <sheetName val="Description "/>
      <sheetName val="Legal Aspects"/>
      <sheetName val="summary"/>
      <sheetName val="val"/>
      <sheetName val="Limiting Condition"/>
      <sheetName val="Area"/>
      <sheetName val="Sheet4"/>
      <sheetName val="Sheet3"/>
      <sheetName val="Sheet1"/>
      <sheetName val="Sheet2"/>
    </sheetNames>
    <definedNames>
      <definedName name="_Toc272312950" refersTo="='Synopsis'!$B$28" sheetId="2"/>
      <definedName name="_Toc332296746" refersTo="='Limiting Condition'!$B$1" sheetId="9"/>
      <definedName name="_Toc335642854" refersTo="='Importance'!$B$1" sheetId="4"/>
      <definedName name="_Toc335642860" refersTo="='Limiting Condition'!$B$6" sheetId="9"/>
      <definedName name="_Toc341107988" refersTo="='Synopsis'!$B$1" sheetId="2"/>
      <definedName name="_Toc341107989" refersTo="='Synopsis'!$B$2" sheetId="2"/>
      <definedName name="_Toc341107990" refersTo="='Synopsis'!$B$3" sheetId="2"/>
      <definedName name="_Toc341107993" refersTo="='Location'!$B$1" sheetId="3"/>
      <definedName name="_Toc341107994" refersTo="='Location'!$B$14" sheetId="3"/>
      <definedName name="_Toc341107995" refersTo="='Location'!$B$21" sheetId="3"/>
    </definedNames>
    <sheetDataSet>
      <sheetData sheetId="0"/>
      <sheetData sheetId="1"/>
      <sheetData sheetId="2">
        <row r="1">
          <cell r="B1" t="str">
            <v>Synopsis of Property Valuation Report</v>
          </cell>
        </row>
        <row r="2">
          <cell r="B2" t="str">
            <v>1. General Information</v>
          </cell>
        </row>
        <row r="3">
          <cell r="B3" t="str">
            <v>a. Name, Address and General Information of Client</v>
          </cell>
        </row>
        <row r="26">
          <cell r="B26" t="str">
            <v>b. Property to be mortgaged</v>
          </cell>
        </row>
        <row r="28">
          <cell r="B28" t="str">
            <v>c. Name , Address and General Information of Owner of Property</v>
          </cell>
        </row>
      </sheetData>
      <sheetData sheetId="3">
        <row r="1">
          <cell r="B1" t="str">
            <v xml:space="preserve">d. Location of Property </v>
          </cell>
        </row>
        <row r="14">
          <cell r="B14" t="str">
            <v xml:space="preserve">e. Total Area of Land </v>
          </cell>
        </row>
        <row r="21">
          <cell r="B21" t="str">
            <v>f. Parameter of Boundaries</v>
          </cell>
        </row>
      </sheetData>
      <sheetData sheetId="4">
        <row r="1">
          <cell r="B1" t="str">
            <v>g. Importance of Location</v>
          </cell>
        </row>
      </sheetData>
      <sheetData sheetId="5">
        <row r="2">
          <cell r="B2" t="str">
            <v>h. Description of Property</v>
          </cell>
        </row>
      </sheetData>
      <sheetData sheetId="6">
        <row r="2">
          <cell r="B2" t="str">
            <v>2. Legal Aspects of Property</v>
          </cell>
        </row>
      </sheetData>
      <sheetData sheetId="7">
        <row r="1">
          <cell r="A1" t="str">
            <v>3. Summary of Valuation of Property</v>
          </cell>
        </row>
      </sheetData>
      <sheetData sheetId="8"/>
      <sheetData sheetId="9">
        <row r="1">
          <cell r="B1" t="str">
            <v>4. Limiting Conditions</v>
          </cell>
        </row>
        <row r="6">
          <cell r="B6" t="str">
            <v>5. Remarks</v>
          </cell>
        </row>
        <row r="19">
          <cell r="B19" t="str">
            <v>6. Opinion</v>
          </cell>
        </row>
      </sheetData>
      <sheetData sheetId="10">
        <row r="1">
          <cell r="C1" t="str">
            <v>7. Site Measurement of Land (Area Calculation)</v>
          </cell>
        </row>
      </sheetData>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6.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8.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31.xml"/><Relationship Id="rId3" Type="http://schemas.openxmlformats.org/officeDocument/2006/relationships/vmlDrawing" Target="../drawings/vmlDrawing7.vml"/><Relationship Id="rId7" Type="http://schemas.openxmlformats.org/officeDocument/2006/relationships/ctrlProp" Target="../ctrlProps/ctrlProp30.xml"/><Relationship Id="rId2" Type="http://schemas.openxmlformats.org/officeDocument/2006/relationships/drawing" Target="../drawings/drawing3.xml"/><Relationship Id="rId1" Type="http://schemas.openxmlformats.org/officeDocument/2006/relationships/printerSettings" Target="../printerSettings/printerSettings9.bin"/><Relationship Id="rId6" Type="http://schemas.openxmlformats.org/officeDocument/2006/relationships/ctrlProp" Target="../ctrlProps/ctrlProp29.xml"/><Relationship Id="rId5" Type="http://schemas.openxmlformats.org/officeDocument/2006/relationships/ctrlProp" Target="../ctrlProps/ctrlProp28.xml"/><Relationship Id="rId4" Type="http://schemas.openxmlformats.org/officeDocument/2006/relationships/ctrlProp" Target="../ctrlProps/ctrlProp27.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3:E44"/>
  <sheetViews>
    <sheetView showFormulas="1" topLeftCell="A13" zoomScale="93" zoomScaleNormal="93" workbookViewId="0">
      <selection activeCell="B19" sqref="B19"/>
    </sheetView>
  </sheetViews>
  <sheetFormatPr defaultRowHeight="15" x14ac:dyDescent="0.25"/>
  <cols>
    <col min="1" max="1" width="24.140625" customWidth="1"/>
    <col min="2" max="2" width="25.85546875" customWidth="1"/>
  </cols>
  <sheetData>
    <row r="3" spans="1:5" ht="27" customHeight="1" x14ac:dyDescent="0.25">
      <c r="A3" s="112" t="s">
        <v>317</v>
      </c>
      <c r="B3" s="12" t="s">
        <v>437</v>
      </c>
    </row>
    <row r="4" spans="1:5" x14ac:dyDescent="0.25">
      <c r="A4" t="s">
        <v>24</v>
      </c>
    </row>
    <row r="5" spans="1:5" x14ac:dyDescent="0.25">
      <c r="A5" s="5" t="s">
        <v>28</v>
      </c>
      <c r="B5">
        <v>9</v>
      </c>
    </row>
    <row r="6" spans="1:5" x14ac:dyDescent="0.25">
      <c r="A6" s="5" t="s">
        <v>29</v>
      </c>
      <c r="B6" t="s">
        <v>442</v>
      </c>
    </row>
    <row r="7" spans="1:5" x14ac:dyDescent="0.25">
      <c r="A7" s="5" t="s">
        <v>30</v>
      </c>
      <c r="B7" t="s">
        <v>412</v>
      </c>
    </row>
    <row r="8" spans="1:5" x14ac:dyDescent="0.25">
      <c r="A8" t="s">
        <v>414</v>
      </c>
      <c r="B8" s="114" t="s">
        <v>443</v>
      </c>
    </row>
    <row r="9" spans="1:5" ht="17.25" customHeight="1" x14ac:dyDescent="0.25">
      <c r="A9" s="2" t="s">
        <v>26</v>
      </c>
      <c r="B9" s="114" t="s">
        <v>444</v>
      </c>
      <c r="C9" s="114"/>
    </row>
    <row r="10" spans="1:5" ht="16.5" customHeight="1" x14ac:dyDescent="0.25">
      <c r="A10" t="s">
        <v>27</v>
      </c>
      <c r="B10" t="s">
        <v>445</v>
      </c>
    </row>
    <row r="11" spans="1:5" ht="16.5" customHeight="1" x14ac:dyDescent="0.25">
      <c r="A11" t="s">
        <v>415</v>
      </c>
      <c r="B11" t="s">
        <v>438</v>
      </c>
    </row>
    <row r="12" spans="1:5" ht="16.5" customHeight="1" x14ac:dyDescent="0.25">
      <c r="A12" t="s">
        <v>417</v>
      </c>
      <c r="B12">
        <v>602383466</v>
      </c>
    </row>
    <row r="13" spans="1:5" x14ac:dyDescent="0.25">
      <c r="A13" t="s">
        <v>32</v>
      </c>
      <c r="B13">
        <v>9851044761</v>
      </c>
      <c r="D13" s="2"/>
      <c r="E13" s="2"/>
    </row>
    <row r="14" spans="1:5" s="2" customFormat="1" x14ac:dyDescent="0.25">
      <c r="A14" t="s">
        <v>101</v>
      </c>
      <c r="B14" t="s">
        <v>218</v>
      </c>
      <c r="D14"/>
      <c r="E14"/>
    </row>
    <row r="15" spans="1:5" s="2" customFormat="1" x14ac:dyDescent="0.25">
      <c r="A15"/>
      <c r="B15"/>
      <c r="D15"/>
      <c r="E15"/>
    </row>
    <row r="16" spans="1:5" s="2" customFormat="1" x14ac:dyDescent="0.25">
      <c r="A16" s="2" t="s">
        <v>317</v>
      </c>
      <c r="B16" s="12" t="s">
        <v>438</v>
      </c>
      <c r="D16"/>
      <c r="E16"/>
    </row>
    <row r="17" spans="1:5" s="2" customFormat="1" x14ac:dyDescent="0.25">
      <c r="A17" t="s">
        <v>24</v>
      </c>
      <c r="B17"/>
      <c r="D17"/>
      <c r="E17"/>
    </row>
    <row r="18" spans="1:5" s="2" customFormat="1" x14ac:dyDescent="0.25">
      <c r="A18" s="5" t="s">
        <v>28</v>
      </c>
      <c r="B18">
        <v>7</v>
      </c>
      <c r="D18"/>
      <c r="E18"/>
    </row>
    <row r="19" spans="1:5" s="2" customFormat="1" x14ac:dyDescent="0.25">
      <c r="A19" s="5" t="s">
        <v>29</v>
      </c>
      <c r="B19" t="s">
        <v>468</v>
      </c>
      <c r="D19"/>
      <c r="E19"/>
    </row>
    <row r="20" spans="1:5" s="2" customFormat="1" x14ac:dyDescent="0.25">
      <c r="A20" s="5" t="s">
        <v>30</v>
      </c>
      <c r="B20" t="s">
        <v>446</v>
      </c>
      <c r="D20"/>
      <c r="E20"/>
    </row>
    <row r="21" spans="1:5" s="2" customFormat="1" x14ac:dyDescent="0.25">
      <c r="A21" t="s">
        <v>25</v>
      </c>
      <c r="B21" s="114" t="s">
        <v>447</v>
      </c>
      <c r="D21"/>
      <c r="E21"/>
    </row>
    <row r="22" spans="1:5" s="2" customFormat="1" x14ac:dyDescent="0.25">
      <c r="A22" s="2" t="s">
        <v>26</v>
      </c>
      <c r="B22" s="114" t="s">
        <v>448</v>
      </c>
      <c r="D22"/>
      <c r="E22"/>
    </row>
    <row r="23" spans="1:5" s="2" customFormat="1" x14ac:dyDescent="0.25">
      <c r="A23" t="s">
        <v>27</v>
      </c>
      <c r="B23" t="s">
        <v>449</v>
      </c>
      <c r="D23"/>
      <c r="E23"/>
    </row>
    <row r="24" spans="1:5" s="2" customFormat="1" x14ac:dyDescent="0.25">
      <c r="A24" t="s">
        <v>450</v>
      </c>
      <c r="B24" t="s">
        <v>452</v>
      </c>
      <c r="D24"/>
      <c r="E24"/>
    </row>
    <row r="25" spans="1:5" s="2" customFormat="1" x14ac:dyDescent="0.25">
      <c r="A25" s="409" t="s">
        <v>451</v>
      </c>
      <c r="B25" s="410" t="s">
        <v>484</v>
      </c>
      <c r="D25"/>
      <c r="E25"/>
    </row>
    <row r="26" spans="1:5" s="2" customFormat="1" x14ac:dyDescent="0.25">
      <c r="A26" t="s">
        <v>32</v>
      </c>
      <c r="B26">
        <v>9851044761</v>
      </c>
      <c r="D26"/>
      <c r="E26"/>
    </row>
    <row r="27" spans="1:5" s="2" customFormat="1" x14ac:dyDescent="0.25">
      <c r="A27"/>
      <c r="B27"/>
      <c r="D27"/>
      <c r="E27"/>
    </row>
    <row r="28" spans="1:5" s="2" customFormat="1" x14ac:dyDescent="0.25">
      <c r="A28"/>
      <c r="B28"/>
      <c r="D28"/>
      <c r="E28"/>
    </row>
    <row r="29" spans="1:5" ht="19.5" customHeight="1" x14ac:dyDescent="0.25">
      <c r="A29" s="2" t="s">
        <v>410</v>
      </c>
      <c r="B29" s="12" t="s">
        <v>423</v>
      </c>
    </row>
    <row r="30" spans="1:5" x14ac:dyDescent="0.25">
      <c r="A30" t="s">
        <v>24</v>
      </c>
    </row>
    <row r="31" spans="1:5" x14ac:dyDescent="0.25">
      <c r="A31" s="5" t="s">
        <v>28</v>
      </c>
      <c r="B31">
        <v>6</v>
      </c>
    </row>
    <row r="32" spans="1:5" x14ac:dyDescent="0.25">
      <c r="A32" s="5" t="s">
        <v>29</v>
      </c>
      <c r="B32" t="s">
        <v>453</v>
      </c>
    </row>
    <row r="33" spans="1:4" x14ac:dyDescent="0.25">
      <c r="A33" s="5" t="s">
        <v>30</v>
      </c>
      <c r="B33" t="s">
        <v>454</v>
      </c>
    </row>
    <row r="34" spans="1:4" x14ac:dyDescent="0.25">
      <c r="A34" t="s">
        <v>25</v>
      </c>
      <c r="B34" s="114">
        <v>221014</v>
      </c>
    </row>
    <row r="35" spans="1:4" x14ac:dyDescent="0.25">
      <c r="A35" s="2" t="s">
        <v>26</v>
      </c>
      <c r="B35" s="114" t="s">
        <v>455</v>
      </c>
    </row>
    <row r="36" spans="1:4" x14ac:dyDescent="0.25">
      <c r="A36" t="s">
        <v>27</v>
      </c>
      <c r="B36" t="s">
        <v>456</v>
      </c>
    </row>
    <row r="37" spans="1:4" ht="18" customHeight="1" x14ac:dyDescent="0.25">
      <c r="A37" t="s">
        <v>419</v>
      </c>
      <c r="B37" t="s">
        <v>438</v>
      </c>
    </row>
    <row r="38" spans="1:4" ht="18" customHeight="1" x14ac:dyDescent="0.25">
      <c r="A38" t="s">
        <v>418</v>
      </c>
      <c r="B38" t="s">
        <v>452</v>
      </c>
    </row>
    <row r="39" spans="1:4" x14ac:dyDescent="0.25">
      <c r="A39" t="s">
        <v>32</v>
      </c>
      <c r="B39">
        <v>9851044761</v>
      </c>
    </row>
    <row r="42" spans="1:4" ht="31.5" customHeight="1" x14ac:dyDescent="0.25">
      <c r="A42" s="85" t="s">
        <v>103</v>
      </c>
      <c r="B42" s="400" t="s">
        <v>424</v>
      </c>
    </row>
    <row r="43" spans="1:4" x14ac:dyDescent="0.25">
      <c r="A43" t="s">
        <v>13</v>
      </c>
      <c r="B43" s="91">
        <v>791</v>
      </c>
    </row>
    <row r="44" spans="1:4" x14ac:dyDescent="0.25">
      <c r="A44" t="s">
        <v>104</v>
      </c>
      <c r="B44">
        <v>1</v>
      </c>
      <c r="C44" s="412" t="s">
        <v>105</v>
      </c>
      <c r="D44" s="412"/>
    </row>
  </sheetData>
  <mergeCells count="1">
    <mergeCell ref="C44:D44"/>
  </mergeCells>
  <pageMargins left="0.7" right="0.7" top="0.75" bottom="0.75" header="0.3" footer="0.3"/>
  <pageSetup orientation="portrait" horizontalDpi="4294967293"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G45"/>
  <sheetViews>
    <sheetView view="pageLayout" workbookViewId="0">
      <selection activeCell="G29" sqref="G29"/>
    </sheetView>
  </sheetViews>
  <sheetFormatPr defaultColWidth="9.140625" defaultRowHeight="15" x14ac:dyDescent="0.25"/>
  <cols>
    <col min="1" max="1" width="5.42578125" customWidth="1"/>
    <col min="2" max="2" width="4.28515625" customWidth="1"/>
    <col min="3" max="3" width="66.140625" customWidth="1"/>
  </cols>
  <sheetData>
    <row r="1" spans="2:3" s="2" customFormat="1" ht="25.5" customHeight="1" x14ac:dyDescent="0.25">
      <c r="B1" s="415" t="str">
        <f>[1]Synopsis!_Toc341107988</f>
        <v>Synopsis of Property Valuation Report</v>
      </c>
      <c r="C1" s="415"/>
    </row>
    <row r="2" spans="2:3" ht="15.75" x14ac:dyDescent="0.25">
      <c r="B2" s="131" t="s">
        <v>326</v>
      </c>
      <c r="C2" s="131"/>
    </row>
    <row r="3" spans="2:3" ht="15.75" x14ac:dyDescent="0.25">
      <c r="B3" s="131" t="str">
        <f>[1]Synopsis!_Toc341107989</f>
        <v>1. General Information</v>
      </c>
      <c r="C3" s="131"/>
    </row>
    <row r="4" spans="2:3" ht="15.75" x14ac:dyDescent="0.25">
      <c r="B4" s="131"/>
      <c r="C4" s="131" t="str">
        <f>[1]Synopsis!_Toc341107990</f>
        <v>a. Name, Address and General Information of Client</v>
      </c>
    </row>
    <row r="5" spans="2:3" ht="15.75" x14ac:dyDescent="0.25">
      <c r="B5" s="131"/>
      <c r="C5" s="131" t="str">
        <f>[1]Synopsis!B26</f>
        <v>b. Property to be mortgaged</v>
      </c>
    </row>
    <row r="6" spans="2:3" ht="15.75" x14ac:dyDescent="0.25">
      <c r="B6" s="131"/>
      <c r="C6" s="131" t="str">
        <f>[1]Synopsis!_Toc272312950</f>
        <v>c. Name , Address and General Information of Owner of Property</v>
      </c>
    </row>
    <row r="7" spans="2:3" ht="15.75" x14ac:dyDescent="0.25">
      <c r="B7" s="131"/>
      <c r="C7" s="131" t="str">
        <f>[1]Location!_Toc341107993</f>
        <v xml:space="preserve">d. Location of Property </v>
      </c>
    </row>
    <row r="8" spans="2:3" ht="15.75" x14ac:dyDescent="0.25">
      <c r="B8" s="131"/>
      <c r="C8" s="131" t="str">
        <f>[1]Location!_Toc341107994</f>
        <v xml:space="preserve">e. Total Area of Land </v>
      </c>
    </row>
    <row r="9" spans="2:3" ht="15.75" x14ac:dyDescent="0.25">
      <c r="B9" s="131"/>
      <c r="C9" s="131" t="str">
        <f>[1]Location!_Toc341107995</f>
        <v>f. Parameter of Boundaries</v>
      </c>
    </row>
    <row r="10" spans="2:3" ht="15.75" x14ac:dyDescent="0.25">
      <c r="B10" s="131"/>
      <c r="C10" s="131" t="str">
        <f>[1]Importance!_Toc335642854</f>
        <v>g. Importance of Location</v>
      </c>
    </row>
    <row r="11" spans="2:3" ht="15.75" x14ac:dyDescent="0.25">
      <c r="B11" s="131"/>
      <c r="C11" s="131" t="str">
        <f>'[1]Description '!B2</f>
        <v>h. Description of Property</v>
      </c>
    </row>
    <row r="12" spans="2:3" ht="15.75" x14ac:dyDescent="0.25">
      <c r="B12" s="131"/>
      <c r="C12" s="131" t="s">
        <v>224</v>
      </c>
    </row>
    <row r="13" spans="2:3" ht="15.75" x14ac:dyDescent="0.25">
      <c r="B13" s="131"/>
      <c r="C13" s="131" t="s">
        <v>403</v>
      </c>
    </row>
    <row r="14" spans="2:3" ht="15.75" x14ac:dyDescent="0.25">
      <c r="B14" s="413" t="str">
        <f>'[1]Legal Aspects'!B2</f>
        <v>2. Legal Aspects of Property</v>
      </c>
      <c r="C14" s="413"/>
    </row>
    <row r="15" spans="2:3" ht="15.75" x14ac:dyDescent="0.25">
      <c r="B15" s="413" t="str">
        <f>[1]summary!A1</f>
        <v>3. Summary of Valuation of Property</v>
      </c>
      <c r="C15" s="413"/>
    </row>
    <row r="16" spans="2:3" ht="15.75" x14ac:dyDescent="0.25">
      <c r="B16" s="413" t="str">
        <f>'[1]Limiting Condition'!_Toc332296746</f>
        <v>4. Limiting Conditions</v>
      </c>
      <c r="C16" s="413"/>
    </row>
    <row r="17" spans="2:7" ht="15.75" x14ac:dyDescent="0.25">
      <c r="B17" s="413" t="str">
        <f>'[1]Limiting Condition'!_Toc335642860</f>
        <v>5. Remarks</v>
      </c>
      <c r="C17" s="413"/>
    </row>
    <row r="18" spans="2:7" ht="15.75" x14ac:dyDescent="0.25">
      <c r="B18" s="413" t="str">
        <f>'[1]Limiting Condition'!B19</f>
        <v>6. Opinion</v>
      </c>
      <c r="C18" s="413"/>
    </row>
    <row r="19" spans="2:7" ht="15.75" x14ac:dyDescent="0.25">
      <c r="B19" s="413" t="str">
        <f>[1]Area!C1</f>
        <v>7. Site Measurement of Land (Area Calculation)</v>
      </c>
      <c r="C19" s="413"/>
    </row>
    <row r="20" spans="2:7" ht="15.75" x14ac:dyDescent="0.25">
      <c r="B20" s="413" t="s">
        <v>216</v>
      </c>
      <c r="C20" s="413"/>
    </row>
    <row r="21" spans="2:7" ht="15.75" x14ac:dyDescent="0.25">
      <c r="B21" s="413" t="s">
        <v>225</v>
      </c>
      <c r="C21" s="413"/>
    </row>
    <row r="22" spans="2:7" ht="15.75" x14ac:dyDescent="0.25">
      <c r="B22" s="136" t="s">
        <v>253</v>
      </c>
      <c r="C22" s="136"/>
    </row>
    <row r="23" spans="2:7" ht="15.75" x14ac:dyDescent="0.25">
      <c r="B23" s="136" t="str">
        <f>'Limiting Condition'!B28</f>
        <v>11. Commitment of Property Owner and Client</v>
      </c>
      <c r="C23" s="136"/>
    </row>
    <row r="24" spans="2:7" ht="15.75" x14ac:dyDescent="0.25">
      <c r="B24" s="136" t="str">
        <f>'Limiting Condition'!B40</f>
        <v>12. Certification</v>
      </c>
      <c r="C24" s="136"/>
    </row>
    <row r="25" spans="2:7" ht="18.75" x14ac:dyDescent="0.25">
      <c r="B25" s="416" t="s">
        <v>226</v>
      </c>
      <c r="C25" s="416"/>
    </row>
    <row r="26" spans="2:7" ht="18.75" x14ac:dyDescent="0.25">
      <c r="B26" s="416" t="s">
        <v>227</v>
      </c>
      <c r="C26" s="416"/>
    </row>
    <row r="27" spans="2:7" ht="15.75" x14ac:dyDescent="0.25">
      <c r="B27" s="413" t="s">
        <v>457</v>
      </c>
      <c r="C27" s="413"/>
    </row>
    <row r="28" spans="2:7" ht="15.75" x14ac:dyDescent="0.25">
      <c r="B28" s="413" t="s">
        <v>458</v>
      </c>
      <c r="C28" s="413"/>
    </row>
    <row r="29" spans="2:7" ht="15.75" x14ac:dyDescent="0.25">
      <c r="B29" s="413" t="s">
        <v>459</v>
      </c>
      <c r="C29" s="413"/>
    </row>
    <row r="30" spans="2:7" ht="15.75" x14ac:dyDescent="0.25">
      <c r="B30" s="413" t="s">
        <v>460</v>
      </c>
      <c r="C30" s="413"/>
      <c r="D30" s="131"/>
      <c r="E30" s="129"/>
      <c r="F30" s="129"/>
      <c r="G30" s="130"/>
    </row>
    <row r="31" spans="2:7" ht="15.75" x14ac:dyDescent="0.25">
      <c r="B31" s="413" t="s">
        <v>461</v>
      </c>
      <c r="C31" s="413"/>
      <c r="D31" s="131"/>
      <c r="E31" s="129"/>
      <c r="F31" s="129"/>
      <c r="G31" s="130"/>
    </row>
    <row r="32" spans="2:7" ht="15.75" x14ac:dyDescent="0.25">
      <c r="B32" s="413" t="s">
        <v>462</v>
      </c>
      <c r="C32" s="413"/>
      <c r="D32" s="131"/>
      <c r="E32" s="129"/>
      <c r="F32" s="129"/>
      <c r="G32" s="130"/>
    </row>
    <row r="33" spans="2:7" ht="15.75" x14ac:dyDescent="0.25">
      <c r="B33" s="413" t="s">
        <v>463</v>
      </c>
      <c r="C33" s="413"/>
      <c r="D33" s="131"/>
      <c r="E33" s="129"/>
      <c r="F33" s="129"/>
      <c r="G33" s="130"/>
    </row>
    <row r="34" spans="2:7" ht="15.75" hidden="1" x14ac:dyDescent="0.25">
      <c r="D34" s="131"/>
      <c r="E34" s="129"/>
      <c r="F34" s="129"/>
      <c r="G34" s="130"/>
    </row>
    <row r="35" spans="2:7" ht="15.75" x14ac:dyDescent="0.25">
      <c r="B35" s="413" t="s">
        <v>464</v>
      </c>
      <c r="C35" s="413"/>
      <c r="D35" s="131"/>
      <c r="E35" s="129"/>
      <c r="F35" s="129"/>
      <c r="G35" s="130"/>
    </row>
    <row r="36" spans="2:7" ht="15.75" x14ac:dyDescent="0.25">
      <c r="B36" s="136" t="s">
        <v>465</v>
      </c>
      <c r="C36" s="136"/>
      <c r="D36" s="131"/>
    </row>
    <row r="37" spans="2:7" ht="15.75" x14ac:dyDescent="0.25">
      <c r="B37" s="413" t="s">
        <v>466</v>
      </c>
      <c r="C37" s="413"/>
      <c r="D37" s="131"/>
    </row>
    <row r="38" spans="2:7" ht="15.75" x14ac:dyDescent="0.25">
      <c r="B38" s="413" t="s">
        <v>467</v>
      </c>
      <c r="C38" s="413"/>
      <c r="D38" s="131"/>
    </row>
    <row r="39" spans="2:7" ht="15.75" x14ac:dyDescent="0.25">
      <c r="B39" s="413"/>
      <c r="C39" s="413"/>
      <c r="D39" s="131"/>
    </row>
    <row r="40" spans="2:7" ht="15.75" x14ac:dyDescent="0.25">
      <c r="B40" s="413"/>
      <c r="C40" s="413"/>
      <c r="D40" s="131"/>
    </row>
    <row r="41" spans="2:7" ht="15.75" x14ac:dyDescent="0.25">
      <c r="B41" s="413"/>
      <c r="C41" s="413"/>
    </row>
    <row r="42" spans="2:7" x14ac:dyDescent="0.25">
      <c r="B42" s="414"/>
      <c r="C42" s="414"/>
    </row>
    <row r="43" spans="2:7" ht="15.75" x14ac:dyDescent="0.25">
      <c r="B43" s="413"/>
      <c r="C43" s="413"/>
    </row>
    <row r="44" spans="2:7" ht="15.75" x14ac:dyDescent="0.25">
      <c r="B44" s="413"/>
      <c r="C44" s="413"/>
    </row>
    <row r="45" spans="2:7" ht="15.75" x14ac:dyDescent="0.25">
      <c r="B45" s="413"/>
      <c r="C45" s="413"/>
    </row>
  </sheetData>
  <mergeCells count="28">
    <mergeCell ref="B1:C1"/>
    <mergeCell ref="B37:C37"/>
    <mergeCell ref="B30:C30"/>
    <mergeCell ref="B31:C31"/>
    <mergeCell ref="B32:C32"/>
    <mergeCell ref="B33:C33"/>
    <mergeCell ref="B19:C19"/>
    <mergeCell ref="B20:C20"/>
    <mergeCell ref="B35:C35"/>
    <mergeCell ref="B21:C21"/>
    <mergeCell ref="B25:C25"/>
    <mergeCell ref="B26:C26"/>
    <mergeCell ref="B14:C14"/>
    <mergeCell ref="B15:C15"/>
    <mergeCell ref="B16:C16"/>
    <mergeCell ref="B17:C17"/>
    <mergeCell ref="B18:C18"/>
    <mergeCell ref="B45:C45"/>
    <mergeCell ref="B41:C41"/>
    <mergeCell ref="B42:C42"/>
    <mergeCell ref="B43:C43"/>
    <mergeCell ref="B44:C44"/>
    <mergeCell ref="B39:C39"/>
    <mergeCell ref="B40:C40"/>
    <mergeCell ref="B38:C38"/>
    <mergeCell ref="B27:C27"/>
    <mergeCell ref="B28:C28"/>
    <mergeCell ref="B29:C29"/>
  </mergeCells>
  <pageMargins left="0.7" right="0.7" top="0.75" bottom="0.75" header="0.3" footer="0.3"/>
  <pageSetup scale="98" orientation="portrait" horizontalDpi="4294967293"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I61"/>
  <sheetViews>
    <sheetView view="pageLayout" topLeftCell="A3" workbookViewId="0">
      <selection activeCell="E12" sqref="E12:I12"/>
    </sheetView>
  </sheetViews>
  <sheetFormatPr defaultRowHeight="15" x14ac:dyDescent="0.25"/>
  <cols>
    <col min="1" max="1" width="7.140625" customWidth="1"/>
    <col min="2" max="2" width="5.140625" customWidth="1"/>
    <col min="3" max="3" width="34.42578125" customWidth="1"/>
    <col min="4" max="4" width="2.42578125" customWidth="1"/>
    <col min="5" max="5" width="11" customWidth="1"/>
    <col min="7" max="7" width="1.85546875" customWidth="1"/>
    <col min="8" max="8" width="1.28515625" customWidth="1"/>
    <col min="9" max="9" width="15.85546875" customWidth="1"/>
  </cols>
  <sheetData>
    <row r="1" spans="2:9" ht="20.100000000000001" customHeight="1" x14ac:dyDescent="0.3">
      <c r="B1" s="6" t="s">
        <v>20</v>
      </c>
    </row>
    <row r="2" spans="2:9" ht="20.100000000000001" customHeight="1" x14ac:dyDescent="0.3">
      <c r="B2" s="3" t="s">
        <v>21</v>
      </c>
    </row>
    <row r="3" spans="2:9" ht="20.100000000000001" customHeight="1" x14ac:dyDescent="0.3">
      <c r="B3" s="4" t="s">
        <v>22</v>
      </c>
      <c r="F3" s="133"/>
    </row>
    <row r="4" spans="2:9" ht="20.100000000000001" customHeight="1" x14ac:dyDescent="0.25">
      <c r="C4" s="2"/>
    </row>
    <row r="5" spans="2:9" ht="20.100000000000001" customHeight="1" x14ac:dyDescent="0.25">
      <c r="B5">
        <v>1</v>
      </c>
      <c r="C5" t="str">
        <f>'In Put'!A3</f>
        <v>Client's Name</v>
      </c>
      <c r="D5" t="s">
        <v>11</v>
      </c>
      <c r="E5" t="str">
        <f>'In Put'!B3</f>
        <v>M/S. Mokshya Trade &amp; Suppliers</v>
      </c>
    </row>
    <row r="6" spans="2:9" ht="20.100000000000001" customHeight="1" x14ac:dyDescent="0.25">
      <c r="C6" t="str">
        <f>'In Put'!A4</f>
        <v>Address</v>
      </c>
      <c r="D6" t="s">
        <v>11</v>
      </c>
    </row>
    <row r="7" spans="2:9" ht="18" customHeight="1" x14ac:dyDescent="0.25">
      <c r="C7" s="5" t="str">
        <f>'In Put'!A5</f>
        <v>Ward No</v>
      </c>
      <c r="D7" t="s">
        <v>11</v>
      </c>
      <c r="E7" s="21">
        <f>'In Put'!B5</f>
        <v>9</v>
      </c>
    </row>
    <row r="8" spans="2:9" ht="20.100000000000001" customHeight="1" x14ac:dyDescent="0.25">
      <c r="C8" s="5" t="str">
        <f>'In Put'!A6</f>
        <v>VDC/ Municipality</v>
      </c>
      <c r="D8" t="s">
        <v>11</v>
      </c>
      <c r="E8" t="str">
        <f>'In Put'!B6</f>
        <v>Tokha</v>
      </c>
    </row>
    <row r="9" spans="2:9" ht="20.100000000000001" customHeight="1" x14ac:dyDescent="0.25">
      <c r="C9" s="5" t="str">
        <f>'In Put'!A7</f>
        <v>District</v>
      </c>
      <c r="D9" t="s">
        <v>11</v>
      </c>
      <c r="E9" t="str">
        <f>'In Put'!B7</f>
        <v>Kathmandu</v>
      </c>
    </row>
    <row r="10" spans="2:9" ht="20.100000000000001" customHeight="1" x14ac:dyDescent="0.25">
      <c r="C10" t="str">
        <f>'In Put'!A8</f>
        <v>Registration No.</v>
      </c>
      <c r="D10" t="s">
        <v>11</v>
      </c>
      <c r="E10" s="21" t="str">
        <f>'In Put'!B8</f>
        <v>147501/075/76</v>
      </c>
    </row>
    <row r="11" spans="2:9" ht="20.100000000000001" customHeight="1" x14ac:dyDescent="0.25">
      <c r="C11" t="str">
        <f>'In Put'!A9</f>
        <v>Issued Date</v>
      </c>
      <c r="D11" t="s">
        <v>11</v>
      </c>
      <c r="E11" t="str">
        <f>'In Put'!B9</f>
        <v>076/01/11</v>
      </c>
    </row>
    <row r="12" spans="2:9" ht="32.450000000000003" customHeight="1" x14ac:dyDescent="0.25">
      <c r="C12" t="str">
        <f>'In Put'!A10</f>
        <v>Issued Office</v>
      </c>
      <c r="D12" t="s">
        <v>11</v>
      </c>
      <c r="E12" s="418" t="str">
        <f>'In Put'!B10</f>
        <v>Department of Commerce Supplies &amp; Consumer Protection</v>
      </c>
      <c r="F12" s="418"/>
      <c r="G12" s="418"/>
      <c r="H12" s="418"/>
      <c r="I12" s="418"/>
    </row>
    <row r="13" spans="2:9" ht="20.100000000000001" customHeight="1" x14ac:dyDescent="0.25">
      <c r="C13" t="str">
        <f>'In Put'!A11</f>
        <v>Proprietor's Name</v>
      </c>
      <c r="D13" t="s">
        <v>11</v>
      </c>
      <c r="E13" s="418" t="str">
        <f>'In Put'!B11</f>
        <v>Mr. Binod Kumar Khatri</v>
      </c>
      <c r="F13" s="418"/>
      <c r="G13" s="418"/>
      <c r="H13" s="418"/>
      <c r="I13" s="418"/>
    </row>
    <row r="14" spans="2:9" ht="20.100000000000001" customHeight="1" x14ac:dyDescent="0.25">
      <c r="C14" t="str">
        <f>'In Put'!A12</f>
        <v>PAN No:</v>
      </c>
      <c r="D14" t="s">
        <v>11</v>
      </c>
      <c r="E14" s="418">
        <f>'In Put'!B12</f>
        <v>602383466</v>
      </c>
      <c r="F14" s="418"/>
      <c r="G14" s="418"/>
      <c r="H14" s="418"/>
      <c r="I14" s="418"/>
    </row>
    <row r="15" spans="2:9" ht="20.100000000000001" customHeight="1" x14ac:dyDescent="0.25">
      <c r="C15" t="str">
        <f>'In Put'!A13</f>
        <v>Contact No.</v>
      </c>
      <c r="D15" t="s">
        <v>11</v>
      </c>
      <c r="E15">
        <f>'In Put'!B13</f>
        <v>9851044761</v>
      </c>
    </row>
    <row r="16" spans="2:9" ht="20.100000000000001" customHeight="1" x14ac:dyDescent="0.25"/>
    <row r="17" spans="2:5" ht="20.100000000000001" customHeight="1" x14ac:dyDescent="0.25"/>
    <row r="18" spans="2:5" ht="20.100000000000001" customHeight="1" x14ac:dyDescent="0.25">
      <c r="B18">
        <v>2</v>
      </c>
      <c r="C18" t="s">
        <v>317</v>
      </c>
      <c r="D18" t="s">
        <v>11</v>
      </c>
      <c r="E18" s="21" t="str">
        <f>'In Put'!B16</f>
        <v>Mr. Binod Kumar Khatri</v>
      </c>
    </row>
    <row r="19" spans="2:5" ht="20.100000000000001" customHeight="1" x14ac:dyDescent="0.25">
      <c r="C19" t="s">
        <v>24</v>
      </c>
      <c r="E19" s="21"/>
    </row>
    <row r="20" spans="2:5" ht="20.100000000000001" customHeight="1" x14ac:dyDescent="0.25">
      <c r="C20" s="5" t="s">
        <v>28</v>
      </c>
      <c r="D20" t="s">
        <v>11</v>
      </c>
      <c r="E20" s="21">
        <f>'In Put'!B18</f>
        <v>7</v>
      </c>
    </row>
    <row r="21" spans="2:5" ht="20.100000000000001" customHeight="1" x14ac:dyDescent="0.25">
      <c r="C21" s="5" t="s">
        <v>29</v>
      </c>
      <c r="D21" t="s">
        <v>11</v>
      </c>
      <c r="E21" s="21" t="str">
        <f>'In Put'!B19</f>
        <v>Bhatauli</v>
      </c>
    </row>
    <row r="22" spans="2:5" ht="20.100000000000001" customHeight="1" x14ac:dyDescent="0.25">
      <c r="C22" s="5" t="s">
        <v>30</v>
      </c>
      <c r="D22" t="s">
        <v>11</v>
      </c>
      <c r="E22" s="21" t="str">
        <f>'In Put'!B20</f>
        <v>Ramechhap</v>
      </c>
    </row>
    <row r="23" spans="2:5" ht="20.100000000000001" customHeight="1" x14ac:dyDescent="0.25">
      <c r="C23" t="s">
        <v>25</v>
      </c>
      <c r="D23" t="s">
        <v>11</v>
      </c>
      <c r="E23" s="102" t="str">
        <f>'In Put'!B21</f>
        <v>11032/12466</v>
      </c>
    </row>
    <row r="24" spans="2:5" ht="20.100000000000001" customHeight="1" x14ac:dyDescent="0.25">
      <c r="C24" t="s">
        <v>26</v>
      </c>
      <c r="D24" t="s">
        <v>11</v>
      </c>
      <c r="E24" s="102" t="str">
        <f>'In Put'!B22</f>
        <v>066/06/18</v>
      </c>
    </row>
    <row r="25" spans="2:5" ht="20.100000000000001" customHeight="1" x14ac:dyDescent="0.25">
      <c r="C25" t="s">
        <v>27</v>
      </c>
      <c r="D25" t="s">
        <v>11</v>
      </c>
      <c r="E25" s="21" t="str">
        <f>'In Put'!B23</f>
        <v>District Administrative Office, Ramechhap</v>
      </c>
    </row>
    <row r="26" spans="2:5" ht="20.100000000000001" customHeight="1" x14ac:dyDescent="0.25">
      <c r="C26" t="str">
        <f>'In Put'!A24</f>
        <v>Father's Name</v>
      </c>
      <c r="D26" t="s">
        <v>11</v>
      </c>
      <c r="E26" s="21" t="str">
        <f>'In Put'!B24</f>
        <v>Mr. Saha Bahadur Khatri</v>
      </c>
    </row>
    <row r="27" spans="2:5" ht="20.100000000000001" customHeight="1" x14ac:dyDescent="0.25">
      <c r="C27" t="str">
        <f>'In Put'!A25</f>
        <v>Grand Father's Name</v>
      </c>
      <c r="D27" t="s">
        <v>11</v>
      </c>
      <c r="E27" s="21" t="str">
        <f>'In Put'!B25</f>
        <v>Mr. Ram Bahadur Khatri</v>
      </c>
    </row>
    <row r="28" spans="2:5" ht="20.100000000000001" customHeight="1" x14ac:dyDescent="0.25">
      <c r="C28" t="str">
        <f>'In Put'!A26</f>
        <v>Contact No.</v>
      </c>
      <c r="D28" t="s">
        <v>11</v>
      </c>
      <c r="E28" s="21">
        <f>'In Put'!B26</f>
        <v>9851044761</v>
      </c>
    </row>
    <row r="29" spans="2:5" ht="20.100000000000001" customHeight="1" x14ac:dyDescent="0.25"/>
    <row r="30" spans="2:5" ht="20.100000000000001" customHeight="1" x14ac:dyDescent="0.25"/>
    <row r="31" spans="2:5" ht="20.100000000000001" customHeight="1" x14ac:dyDescent="0.25"/>
    <row r="32" spans="2:5" ht="20.100000000000001" customHeight="1" x14ac:dyDescent="0.25"/>
    <row r="33" spans="2:9" ht="9.75" customHeight="1" x14ac:dyDescent="0.25"/>
    <row r="34" spans="2:9" ht="19.5" hidden="1" customHeight="1" x14ac:dyDescent="0.25">
      <c r="C34" s="5"/>
      <c r="E34" s="21"/>
    </row>
    <row r="35" spans="2:9" ht="19.5" hidden="1" customHeight="1" x14ac:dyDescent="0.25">
      <c r="C35" s="5"/>
      <c r="E35" s="21"/>
    </row>
    <row r="36" spans="2:9" ht="19.5" hidden="1" customHeight="1" x14ac:dyDescent="0.25">
      <c r="C36" s="5"/>
      <c r="E36" s="21"/>
    </row>
    <row r="37" spans="2:9" ht="19.5" hidden="1" customHeight="1" x14ac:dyDescent="0.25">
      <c r="E37" s="21"/>
    </row>
    <row r="38" spans="2:9" ht="19.5" hidden="1" customHeight="1" x14ac:dyDescent="0.25">
      <c r="E38" s="21"/>
    </row>
    <row r="39" spans="2:9" ht="19.5" hidden="1" customHeight="1" x14ac:dyDescent="0.25">
      <c r="E39" s="21"/>
    </row>
    <row r="40" spans="2:9" ht="19.5" hidden="1" customHeight="1" x14ac:dyDescent="0.25">
      <c r="E40" s="21"/>
    </row>
    <row r="41" spans="2:9" ht="19.5" hidden="1" customHeight="1" x14ac:dyDescent="0.25">
      <c r="E41" s="21"/>
    </row>
    <row r="42" spans="2:9" ht="19.5" hidden="1" customHeight="1" x14ac:dyDescent="0.25">
      <c r="E42" s="21"/>
    </row>
    <row r="43" spans="2:9" ht="19.5" hidden="1" customHeight="1" x14ac:dyDescent="0.25">
      <c r="E43" s="21"/>
    </row>
    <row r="44" spans="2:9" ht="20.100000000000001" customHeight="1" x14ac:dyDescent="0.3">
      <c r="B44" s="4" t="s">
        <v>100</v>
      </c>
      <c r="C44" s="4"/>
      <c r="D44" s="4" t="s">
        <v>11</v>
      </c>
      <c r="E44" s="417" t="str">
        <f>'In Put'!B14</f>
        <v>Land &amp; Building</v>
      </c>
      <c r="F44" s="417"/>
      <c r="G44" s="417"/>
      <c r="H44" s="417"/>
      <c r="I44" s="417"/>
    </row>
    <row r="45" spans="2:9" ht="20.100000000000001" customHeight="1" x14ac:dyDescent="0.25"/>
    <row r="46" spans="2:9" ht="20.100000000000001" customHeight="1" x14ac:dyDescent="0.25"/>
    <row r="47" spans="2:9" ht="20.100000000000001" customHeight="1" x14ac:dyDescent="0.25"/>
    <row r="48" spans="2:9" ht="20.100000000000001" customHeight="1" x14ac:dyDescent="0.3">
      <c r="B48" s="4" t="s">
        <v>31</v>
      </c>
    </row>
    <row r="49" spans="2:5" ht="20.100000000000001" customHeight="1" x14ac:dyDescent="0.25">
      <c r="B49" s="2"/>
      <c r="C49" s="2"/>
    </row>
    <row r="50" spans="2:5" ht="20.100000000000001" customHeight="1" x14ac:dyDescent="0.25">
      <c r="C50" t="s">
        <v>23</v>
      </c>
      <c r="D50" t="s">
        <v>11</v>
      </c>
      <c r="E50" s="21" t="str">
        <f>'In Put'!B29</f>
        <v>Mrs. Lila Khatri</v>
      </c>
    </row>
    <row r="51" spans="2:5" ht="20.100000000000001" customHeight="1" x14ac:dyDescent="0.25">
      <c r="C51" t="s">
        <v>24</v>
      </c>
      <c r="E51" s="21"/>
    </row>
    <row r="52" spans="2:5" ht="20.100000000000001" customHeight="1" x14ac:dyDescent="0.25">
      <c r="C52" s="5" t="s">
        <v>28</v>
      </c>
      <c r="D52" t="s">
        <v>11</v>
      </c>
      <c r="E52" s="21">
        <f>'In Put'!B31</f>
        <v>6</v>
      </c>
    </row>
    <row r="53" spans="2:5" ht="20.100000000000001" customHeight="1" x14ac:dyDescent="0.25">
      <c r="C53" s="5" t="s">
        <v>29</v>
      </c>
      <c r="D53" t="s">
        <v>11</v>
      </c>
      <c r="E53" s="21" t="str">
        <f>'In Put'!B32</f>
        <v>Bhimeshwor</v>
      </c>
    </row>
    <row r="54" spans="2:5" ht="20.100000000000001" customHeight="1" x14ac:dyDescent="0.25">
      <c r="C54" s="5" t="s">
        <v>30</v>
      </c>
      <c r="D54" t="s">
        <v>11</v>
      </c>
      <c r="E54" s="21" t="str">
        <f>'In Put'!B33</f>
        <v>Dolakha</v>
      </c>
    </row>
    <row r="55" spans="2:5" ht="20.100000000000001" customHeight="1" x14ac:dyDescent="0.25">
      <c r="C55" t="s">
        <v>25</v>
      </c>
      <c r="D55" t="s">
        <v>11</v>
      </c>
      <c r="E55" s="21">
        <f>'In Put'!B34</f>
        <v>221014</v>
      </c>
    </row>
    <row r="56" spans="2:5" ht="20.100000000000001" customHeight="1" x14ac:dyDescent="0.25">
      <c r="C56" t="s">
        <v>26</v>
      </c>
      <c r="D56" t="s">
        <v>11</v>
      </c>
      <c r="E56" s="102" t="str">
        <f>'In Put'!B35</f>
        <v>068/06/06</v>
      </c>
    </row>
    <row r="57" spans="2:5" ht="20.100000000000001" customHeight="1" x14ac:dyDescent="0.25">
      <c r="C57" t="s">
        <v>27</v>
      </c>
      <c r="D57" t="s">
        <v>11</v>
      </c>
      <c r="E57" s="21" t="str">
        <f>'In Put'!B36</f>
        <v>District Administrative Office, Dolakha</v>
      </c>
    </row>
    <row r="58" spans="2:5" ht="20.100000000000001" customHeight="1" x14ac:dyDescent="0.25">
      <c r="C58" t="str">
        <f>'In Put'!A37</f>
        <v>Husband's Name</v>
      </c>
      <c r="D58" t="s">
        <v>11</v>
      </c>
      <c r="E58" s="21" t="str">
        <f>'In Put'!B37</f>
        <v>Mr. Binod Kumar Khatri</v>
      </c>
    </row>
    <row r="59" spans="2:5" ht="20.100000000000001" hidden="1" customHeight="1" x14ac:dyDescent="0.25">
      <c r="C59" t="str">
        <f>'In Put'!A38</f>
        <v xml:space="preserve"> Father in Law's Name</v>
      </c>
      <c r="D59" t="s">
        <v>11</v>
      </c>
      <c r="E59" s="21" t="e">
        <f>'In Put'!#REF!</f>
        <v>#REF!</v>
      </c>
    </row>
    <row r="60" spans="2:5" ht="20.100000000000001" customHeight="1" x14ac:dyDescent="0.25">
      <c r="C60" t="str">
        <f>'In Put'!A38</f>
        <v xml:space="preserve"> Father in Law's Name</v>
      </c>
      <c r="D60" t="s">
        <v>11</v>
      </c>
      <c r="E60" s="21" t="str">
        <f>'In Put'!B38</f>
        <v>Mr. Saha Bahadur Khatri</v>
      </c>
    </row>
    <row r="61" spans="2:5" ht="20.25" customHeight="1" x14ac:dyDescent="0.25">
      <c r="C61" t="s">
        <v>32</v>
      </c>
      <c r="D61" t="s">
        <v>11</v>
      </c>
      <c r="E61" s="21">
        <f>'In Put'!B39</f>
        <v>9851044761</v>
      </c>
    </row>
  </sheetData>
  <mergeCells count="4">
    <mergeCell ref="E44:I44"/>
    <mergeCell ref="E12:I12"/>
    <mergeCell ref="E13:I13"/>
    <mergeCell ref="E14:I14"/>
  </mergeCells>
  <pageMargins left="0.7" right="0.7" top="0.75" bottom="0.75" header="0.3" footer="0.3"/>
  <pageSetup orientation="portrait" horizontalDpi="4294967293" r:id="rId1"/>
  <headerFooter>
    <oddFooter>&amp;R&amp;G</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I24"/>
  <sheetViews>
    <sheetView view="pageLayout" workbookViewId="0">
      <selection activeCell="I24" sqref="I24"/>
    </sheetView>
  </sheetViews>
  <sheetFormatPr defaultRowHeight="24.95" customHeight="1" x14ac:dyDescent="0.25"/>
  <cols>
    <col min="1" max="1" width="6.42578125" customWidth="1"/>
    <col min="2" max="3" width="12.28515625" customWidth="1"/>
    <col min="4" max="4" width="5.5703125" customWidth="1"/>
    <col min="5" max="5" width="2.42578125" customWidth="1"/>
    <col min="6" max="6" width="12.5703125" customWidth="1"/>
    <col min="7" max="7" width="13.5703125" customWidth="1"/>
    <col min="8" max="8" width="12.42578125" customWidth="1"/>
    <col min="9" max="9" width="12.85546875" customWidth="1"/>
    <col min="10" max="10" width="14.5703125" customWidth="1"/>
  </cols>
  <sheetData>
    <row r="1" spans="2:9" ht="24.95" customHeight="1" x14ac:dyDescent="0.3">
      <c r="B1" s="4" t="s">
        <v>33</v>
      </c>
      <c r="C1" s="4"/>
      <c r="D1" s="4"/>
    </row>
    <row r="3" spans="2:9" ht="24.95" customHeight="1" x14ac:dyDescent="0.25">
      <c r="B3" t="s">
        <v>34</v>
      </c>
      <c r="E3" t="s">
        <v>11</v>
      </c>
      <c r="F3" s="21">
        <f>'In Put'!B43</f>
        <v>791</v>
      </c>
    </row>
    <row r="4" spans="2:9" ht="24.95" customHeight="1" x14ac:dyDescent="0.25">
      <c r="B4" t="s">
        <v>10</v>
      </c>
    </row>
    <row r="5" spans="2:9" ht="24.95" customHeight="1" x14ac:dyDescent="0.25">
      <c r="B5" t="s">
        <v>28</v>
      </c>
      <c r="E5" t="s">
        <v>11</v>
      </c>
      <c r="F5" s="21">
        <v>1</v>
      </c>
    </row>
    <row r="6" spans="2:9" ht="36.6" customHeight="1" x14ac:dyDescent="0.25">
      <c r="B6" s="426" t="s">
        <v>29</v>
      </c>
      <c r="C6" s="426"/>
      <c r="D6" s="127"/>
      <c r="E6" t="s">
        <v>11</v>
      </c>
      <c r="F6" s="428" t="str">
        <f>'In Put'!B42</f>
        <v>Tarkeshwor Municipality-01(Sabik Sangla VDC 09'Ka'), Kathmandu District</v>
      </c>
      <c r="G6" s="428"/>
      <c r="H6" s="428"/>
      <c r="I6" s="428"/>
    </row>
    <row r="7" spans="2:9" ht="24.95" customHeight="1" x14ac:dyDescent="0.25">
      <c r="B7" s="21" t="s">
        <v>30</v>
      </c>
      <c r="E7" t="s">
        <v>11</v>
      </c>
      <c r="F7" t="s">
        <v>416</v>
      </c>
    </row>
    <row r="8" spans="2:9" ht="24.95" customHeight="1" x14ac:dyDescent="0.25">
      <c r="B8" t="s">
        <v>35</v>
      </c>
      <c r="E8" t="s">
        <v>11</v>
      </c>
      <c r="F8" t="s">
        <v>184</v>
      </c>
    </row>
    <row r="9" spans="2:9" ht="24.95" customHeight="1" x14ac:dyDescent="0.25">
      <c r="B9" t="s">
        <v>36</v>
      </c>
      <c r="E9" t="s">
        <v>11</v>
      </c>
      <c r="F9" t="s">
        <v>211</v>
      </c>
    </row>
    <row r="10" spans="2:9" ht="24.95" customHeight="1" x14ac:dyDescent="0.25">
      <c r="B10" t="s">
        <v>37</v>
      </c>
      <c r="E10" t="s">
        <v>11</v>
      </c>
      <c r="F10" t="s">
        <v>469</v>
      </c>
    </row>
    <row r="11" spans="2:9" ht="28.15" customHeight="1" x14ac:dyDescent="0.25">
      <c r="B11" t="s">
        <v>209</v>
      </c>
      <c r="E11" t="s">
        <v>11</v>
      </c>
      <c r="F11" s="429" t="s">
        <v>470</v>
      </c>
      <c r="G11" s="429"/>
      <c r="H11" s="429"/>
      <c r="I11" s="429"/>
    </row>
    <row r="12" spans="2:9" ht="24.95" customHeight="1" x14ac:dyDescent="0.25">
      <c r="B12" t="s">
        <v>38</v>
      </c>
      <c r="E12" t="s">
        <v>11</v>
      </c>
      <c r="F12" t="s">
        <v>106</v>
      </c>
    </row>
    <row r="14" spans="2:9" ht="24.95" customHeight="1" x14ac:dyDescent="0.3">
      <c r="B14" s="4" t="s">
        <v>39</v>
      </c>
      <c r="C14" s="4"/>
      <c r="D14" s="4"/>
    </row>
    <row r="15" spans="2:9" ht="24.95" customHeight="1" x14ac:dyDescent="0.25">
      <c r="F15" s="7" t="s">
        <v>40</v>
      </c>
      <c r="G15" s="7" t="s">
        <v>41</v>
      </c>
      <c r="H15" s="7" t="s">
        <v>43</v>
      </c>
      <c r="I15" s="7" t="s">
        <v>42</v>
      </c>
    </row>
    <row r="16" spans="2:9" ht="24.95" customHeight="1" x14ac:dyDescent="0.25">
      <c r="B16" t="s">
        <v>44</v>
      </c>
      <c r="E16" t="s">
        <v>11</v>
      </c>
      <c r="F16" s="118">
        <f>summary!D9</f>
        <v>0</v>
      </c>
      <c r="G16" s="118">
        <f>summary!F9</f>
        <v>2.9994999999999998</v>
      </c>
      <c r="H16" s="118">
        <f>summary!G9</f>
        <v>0</v>
      </c>
      <c r="I16" s="119">
        <f>summary!H9</f>
        <v>0</v>
      </c>
    </row>
    <row r="17" spans="1:9" ht="24.95" customHeight="1" x14ac:dyDescent="0.25">
      <c r="B17" t="s">
        <v>45</v>
      </c>
      <c r="E17" t="s">
        <v>11</v>
      </c>
      <c r="F17" s="24">
        <f>summary!D10</f>
        <v>0</v>
      </c>
      <c r="G17" s="118">
        <f>summary!F10</f>
        <v>2</v>
      </c>
      <c r="H17" s="118">
        <f>summary!G10</f>
        <v>3</v>
      </c>
      <c r="I17" s="119">
        <f>summary!H10</f>
        <v>3.2</v>
      </c>
    </row>
    <row r="18" spans="1:9" ht="24.95" customHeight="1" x14ac:dyDescent="0.25">
      <c r="F18" s="419" t="s">
        <v>46</v>
      </c>
      <c r="G18" s="420"/>
      <c r="H18" s="420"/>
      <c r="I18" s="421"/>
    </row>
    <row r="19" spans="1:9" ht="24.95" customHeight="1" x14ac:dyDescent="0.25">
      <c r="B19" t="s">
        <v>47</v>
      </c>
      <c r="E19" t="s">
        <v>11</v>
      </c>
      <c r="F19" s="24">
        <f>summary!D11</f>
        <v>0</v>
      </c>
      <c r="G19" s="24">
        <f>summary!F11</f>
        <v>2</v>
      </c>
      <c r="H19" s="24">
        <f>summary!G11</f>
        <v>3</v>
      </c>
      <c r="I19" s="119">
        <f>summary!H11</f>
        <v>3.2</v>
      </c>
    </row>
    <row r="21" spans="1:9" ht="24.95" customHeight="1" x14ac:dyDescent="0.3">
      <c r="B21" s="4" t="s">
        <v>48</v>
      </c>
      <c r="C21" s="4"/>
      <c r="D21" s="4"/>
    </row>
    <row r="22" spans="1:9" s="427" customFormat="1" ht="24.95" customHeight="1" x14ac:dyDescent="0.25">
      <c r="A22" s="427" t="s">
        <v>471</v>
      </c>
    </row>
    <row r="23" spans="1:9" ht="24.95" customHeight="1" x14ac:dyDescent="0.25">
      <c r="C23" s="422" t="s">
        <v>2</v>
      </c>
      <c r="D23" s="422"/>
      <c r="E23" s="422"/>
      <c r="F23" s="121" t="s">
        <v>49</v>
      </c>
      <c r="G23" s="121" t="s">
        <v>50</v>
      </c>
      <c r="H23" s="121" t="s">
        <v>51</v>
      </c>
      <c r="I23" s="121" t="s">
        <v>52</v>
      </c>
    </row>
    <row r="24" spans="1:9" ht="38.25" customHeight="1" x14ac:dyDescent="0.25">
      <c r="C24" s="423">
        <f>summary!A16</f>
        <v>791</v>
      </c>
      <c r="D24" s="424"/>
      <c r="E24" s="425"/>
      <c r="F24" s="103" t="str">
        <f>summary!C16</f>
        <v>Plot no. 792</v>
      </c>
      <c r="G24" s="103" t="str">
        <f>summary!D16</f>
        <v>Plot No.790</v>
      </c>
      <c r="H24" s="103" t="str">
        <f>summary!G16</f>
        <v>Plot no. 785</v>
      </c>
      <c r="I24" s="103" t="str">
        <f>summary!I16</f>
        <v>Road</v>
      </c>
    </row>
  </sheetData>
  <mergeCells count="7">
    <mergeCell ref="F18:I18"/>
    <mergeCell ref="C23:E23"/>
    <mergeCell ref="C24:E24"/>
    <mergeCell ref="B6:C6"/>
    <mergeCell ref="A22:XFD22"/>
    <mergeCell ref="F6:I6"/>
    <mergeCell ref="F11:I11"/>
  </mergeCells>
  <pageMargins left="0.7" right="0.7" top="0.75" bottom="0.75" header="0.3" footer="0.3"/>
  <pageSetup scale="99" orientation="portrait" horizontalDpi="4294967293" r:id="rId1"/>
  <headerFooter>
    <oddFooter>&amp;R&amp;G</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B1:K12"/>
  <sheetViews>
    <sheetView view="pageLayout" workbookViewId="0">
      <selection activeCell="Q8" sqref="Q7:Q8"/>
    </sheetView>
  </sheetViews>
  <sheetFormatPr defaultRowHeight="15" x14ac:dyDescent="0.25"/>
  <cols>
    <col min="1" max="1" width="6.28515625" customWidth="1"/>
    <col min="2" max="2" width="3.5703125" customWidth="1"/>
  </cols>
  <sheetData>
    <row r="1" spans="2:11" ht="20.100000000000001" customHeight="1" x14ac:dyDescent="0.3">
      <c r="B1" s="4" t="s">
        <v>107</v>
      </c>
    </row>
    <row r="2" spans="2:11" ht="60" customHeight="1" x14ac:dyDescent="0.25">
      <c r="B2" s="431" t="s">
        <v>472</v>
      </c>
      <c r="C2" s="431"/>
      <c r="D2" s="431"/>
      <c r="E2" s="431"/>
      <c r="F2" s="431"/>
      <c r="G2" s="431"/>
      <c r="H2" s="431"/>
      <c r="I2" s="431"/>
      <c r="J2" s="431"/>
    </row>
    <row r="3" spans="2:11" ht="20.100000000000001" customHeight="1" x14ac:dyDescent="0.25">
      <c r="B3" s="12"/>
      <c r="C3" s="12"/>
      <c r="D3" s="12"/>
      <c r="E3" s="12"/>
      <c r="F3" s="12"/>
      <c r="G3" s="12"/>
      <c r="H3" s="12"/>
      <c r="I3" s="12"/>
      <c r="J3" s="12"/>
    </row>
    <row r="4" spans="2:11" ht="24.95" customHeight="1" x14ac:dyDescent="0.25">
      <c r="B4" s="57" t="s">
        <v>108</v>
      </c>
      <c r="C4" s="12"/>
      <c r="D4" s="12"/>
      <c r="E4" s="12"/>
      <c r="F4" s="12"/>
      <c r="G4" s="12"/>
      <c r="H4" s="12"/>
      <c r="I4" s="12"/>
      <c r="J4" s="12"/>
    </row>
    <row r="5" spans="2:11" ht="28.15" customHeight="1" x14ac:dyDescent="0.25">
      <c r="B5" s="12"/>
      <c r="C5" s="432" t="str">
        <f>summary!A30</f>
        <v xml:space="preserve"> The Considered Site is resindential area located at Mega City,Sangla.</v>
      </c>
      <c r="D5" s="432"/>
      <c r="E5" s="432"/>
      <c r="F5" s="432"/>
      <c r="G5" s="432"/>
      <c r="H5" s="432"/>
      <c r="I5" s="432"/>
      <c r="J5" s="432"/>
    </row>
    <row r="6" spans="2:11" ht="32.25" hidden="1" customHeight="1" x14ac:dyDescent="0.25">
      <c r="B6" s="12"/>
      <c r="C6" s="432" t="s">
        <v>177</v>
      </c>
      <c r="D6" s="432"/>
      <c r="E6" s="432"/>
      <c r="F6" s="432"/>
      <c r="G6" s="432"/>
      <c r="H6" s="432"/>
      <c r="I6" s="432"/>
      <c r="J6" s="432"/>
    </row>
    <row r="7" spans="2:11" s="12" customFormat="1" ht="24.95" customHeight="1" x14ac:dyDescent="0.25">
      <c r="C7" s="434" t="str">
        <f>summary!A31</f>
        <v>Approx. 550m North-East from Bhatkya Pool Via Mega City.</v>
      </c>
      <c r="D7" s="434"/>
      <c r="E7" s="434"/>
      <c r="F7" s="434"/>
      <c r="G7" s="434"/>
      <c r="H7" s="434"/>
      <c r="I7" s="434"/>
      <c r="J7" s="434"/>
      <c r="K7" s="434"/>
    </row>
    <row r="8" spans="2:11" ht="27.75" customHeight="1" x14ac:dyDescent="0.25">
      <c r="B8" s="12"/>
      <c r="C8" s="431" t="str">
        <f>summary!A32</f>
        <v>Access Road to the considered site is 13ft wide Concerete Road at South side.</v>
      </c>
      <c r="D8" s="431"/>
      <c r="E8" s="431"/>
      <c r="F8" s="431"/>
      <c r="G8" s="431"/>
      <c r="H8" s="431"/>
      <c r="I8" s="431"/>
      <c r="J8" s="431"/>
    </row>
    <row r="9" spans="2:11" ht="24" customHeight="1" x14ac:dyDescent="0.25">
      <c r="B9" s="86"/>
      <c r="C9" s="433" t="str">
        <f>summary!A33</f>
        <v>Public Transportation is 5min walking distance from the considered site.</v>
      </c>
      <c r="D9" s="433"/>
      <c r="E9" s="433"/>
      <c r="F9" s="433"/>
      <c r="G9" s="433"/>
      <c r="H9" s="433"/>
      <c r="I9" s="433"/>
      <c r="J9" s="433"/>
    </row>
    <row r="10" spans="2:11" x14ac:dyDescent="0.25">
      <c r="C10" s="418" t="str">
        <f>summary!A34</f>
        <v>Physical Infrastructure like  Sewerage line, Water Supply, Telephone,Tv Cable, Electricity Line are available in the considered site</v>
      </c>
      <c r="D10" s="418"/>
      <c r="E10" s="418"/>
      <c r="F10" s="418"/>
      <c r="G10" s="418"/>
      <c r="H10" s="418"/>
      <c r="I10" s="418"/>
      <c r="J10" s="418"/>
    </row>
    <row r="11" spans="2:11" x14ac:dyDescent="0.25">
      <c r="C11" s="418"/>
      <c r="D11" s="418"/>
      <c r="E11" s="418"/>
      <c r="F11" s="418"/>
      <c r="G11" s="418"/>
      <c r="H11" s="418"/>
      <c r="I11" s="418"/>
      <c r="J11" s="418"/>
    </row>
    <row r="12" spans="2:11" s="430" customFormat="1" x14ac:dyDescent="0.25"/>
  </sheetData>
  <mergeCells count="8">
    <mergeCell ref="A12:XFD12"/>
    <mergeCell ref="C10:J11"/>
    <mergeCell ref="B2:J2"/>
    <mergeCell ref="C5:J5"/>
    <mergeCell ref="C6:J6"/>
    <mergeCell ref="C8:J8"/>
    <mergeCell ref="C9:J9"/>
    <mergeCell ref="C7:K7"/>
  </mergeCells>
  <pageMargins left="0.7" right="0.7" top="0.75" bottom="0.75" header="0.3" footer="0.3"/>
  <pageSetup orientation="portrait" horizontalDpi="4294967293" r:id="rId1"/>
  <headerFooter>
    <oddFooter>&amp;R&amp;G</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2:F66"/>
  <sheetViews>
    <sheetView view="pageLayout" topLeftCell="A7" workbookViewId="0">
      <selection activeCell="J47" sqref="H47:J47"/>
    </sheetView>
  </sheetViews>
  <sheetFormatPr defaultRowHeight="15" x14ac:dyDescent="0.25"/>
  <cols>
    <col min="2" max="2" width="27.28515625" customWidth="1"/>
    <col min="3" max="3" width="9.140625" customWidth="1"/>
    <col min="4" max="4" width="11.85546875" customWidth="1"/>
    <col min="5" max="5" width="26.42578125" customWidth="1"/>
    <col min="6" max="6" width="19.85546875" customWidth="1"/>
  </cols>
  <sheetData>
    <row r="2" spans="1:6" ht="20.100000000000001" customHeight="1" x14ac:dyDescent="0.3">
      <c r="B2" s="4" t="s">
        <v>135</v>
      </c>
      <c r="C2" s="4"/>
      <c r="D2" s="4"/>
      <c r="E2" s="4"/>
      <c r="F2" s="4"/>
    </row>
    <row r="3" spans="1:6" ht="20.100000000000001" customHeight="1" x14ac:dyDescent="0.25">
      <c r="A3" s="8"/>
      <c r="B3" s="8"/>
      <c r="C3" s="8"/>
      <c r="D3" s="8"/>
      <c r="E3" s="8"/>
      <c r="F3" s="8"/>
    </row>
    <row r="4" spans="1:6" ht="20.100000000000001" customHeight="1" x14ac:dyDescent="0.25">
      <c r="A4" s="65"/>
      <c r="B4" s="66" t="s">
        <v>136</v>
      </c>
      <c r="C4" s="59"/>
      <c r="D4" s="59"/>
      <c r="E4" s="59"/>
      <c r="F4" s="59"/>
    </row>
    <row r="5" spans="1:6" ht="20.100000000000001" customHeight="1" x14ac:dyDescent="0.25">
      <c r="A5" s="58"/>
      <c r="B5" s="59"/>
      <c r="C5" s="59"/>
      <c r="D5" s="59"/>
      <c r="E5" s="59"/>
      <c r="F5" s="59"/>
    </row>
    <row r="6" spans="1:6" ht="24.95" customHeight="1" x14ac:dyDescent="0.25">
      <c r="A6" s="110">
        <v>1</v>
      </c>
      <c r="B6" s="61" t="s">
        <v>54</v>
      </c>
      <c r="C6" s="59"/>
      <c r="D6" s="59" t="s">
        <v>11</v>
      </c>
      <c r="E6" s="60" t="s">
        <v>55</v>
      </c>
      <c r="F6" s="59"/>
    </row>
    <row r="7" spans="1:6" ht="24.95" customHeight="1" x14ac:dyDescent="0.25">
      <c r="A7" s="110">
        <v>2</v>
      </c>
      <c r="B7" s="61" t="s">
        <v>56</v>
      </c>
      <c r="C7" s="59"/>
      <c r="D7" s="59" t="s">
        <v>11</v>
      </c>
      <c r="E7" s="60" t="s">
        <v>211</v>
      </c>
      <c r="F7" s="59"/>
    </row>
    <row r="8" spans="1:6" ht="24.95" customHeight="1" x14ac:dyDescent="0.25">
      <c r="A8" s="110">
        <v>3</v>
      </c>
      <c r="B8" s="61" t="s">
        <v>58</v>
      </c>
      <c r="C8" s="59"/>
      <c r="D8" s="59" t="s">
        <v>11</v>
      </c>
      <c r="E8" s="60" t="s">
        <v>59</v>
      </c>
      <c r="F8" s="59"/>
    </row>
    <row r="9" spans="1:6" ht="24.95" customHeight="1" x14ac:dyDescent="0.25">
      <c r="A9" s="110">
        <v>4</v>
      </c>
      <c r="B9" s="61" t="s">
        <v>60</v>
      </c>
      <c r="C9" s="63"/>
      <c r="D9" s="63" t="s">
        <v>11</v>
      </c>
      <c r="E9" s="64" t="s">
        <v>57</v>
      </c>
      <c r="F9" s="63"/>
    </row>
    <row r="10" spans="1:6" ht="24.95" customHeight="1" x14ac:dyDescent="0.25">
      <c r="A10" s="110">
        <v>5</v>
      </c>
      <c r="B10" s="61" t="s">
        <v>61</v>
      </c>
      <c r="C10" s="63"/>
      <c r="D10" s="63" t="s">
        <v>11</v>
      </c>
      <c r="E10" s="64" t="s">
        <v>62</v>
      </c>
      <c r="F10" s="63"/>
    </row>
    <row r="11" spans="1:6" ht="36" customHeight="1" x14ac:dyDescent="0.25">
      <c r="A11" s="110">
        <v>6</v>
      </c>
      <c r="B11" s="61" t="s">
        <v>63</v>
      </c>
      <c r="C11" s="63"/>
      <c r="D11" s="63" t="s">
        <v>11</v>
      </c>
      <c r="E11" s="191" t="s">
        <v>473</v>
      </c>
      <c r="F11" s="63"/>
    </row>
    <row r="12" spans="1:6" ht="24.95" customHeight="1" x14ac:dyDescent="0.25">
      <c r="A12" s="110">
        <v>7</v>
      </c>
      <c r="B12" s="61" t="s">
        <v>64</v>
      </c>
      <c r="C12" s="63"/>
      <c r="D12" s="63" t="s">
        <v>11</v>
      </c>
      <c r="E12" s="143" t="s">
        <v>404</v>
      </c>
      <c r="F12" s="63"/>
    </row>
    <row r="13" spans="1:6" ht="24.95" customHeight="1" x14ac:dyDescent="0.25">
      <c r="A13" s="110">
        <v>8</v>
      </c>
      <c r="B13" s="61" t="s">
        <v>65</v>
      </c>
      <c r="C13" s="63"/>
      <c r="D13" s="63" t="s">
        <v>11</v>
      </c>
      <c r="E13" s="64" t="s">
        <v>66</v>
      </c>
      <c r="F13" s="63"/>
    </row>
    <row r="14" spans="1:6" ht="30" x14ac:dyDescent="0.25">
      <c r="A14" s="110">
        <v>9</v>
      </c>
      <c r="B14" s="61" t="s">
        <v>179</v>
      </c>
      <c r="C14" s="63"/>
      <c r="D14" s="63" t="s">
        <v>11</v>
      </c>
      <c r="E14" s="64" t="s">
        <v>66</v>
      </c>
      <c r="F14" s="63"/>
    </row>
    <row r="15" spans="1:6" ht="24.95" customHeight="1" x14ac:dyDescent="0.25">
      <c r="A15" s="110">
        <v>10</v>
      </c>
      <c r="B15" s="61" t="s">
        <v>180</v>
      </c>
      <c r="C15" s="63"/>
      <c r="D15" s="63" t="s">
        <v>11</v>
      </c>
      <c r="E15" s="64" t="s">
        <v>66</v>
      </c>
      <c r="F15" s="63"/>
    </row>
    <row r="16" spans="1:6" ht="24.95" customHeight="1" x14ac:dyDescent="0.25">
      <c r="A16" s="110">
        <v>11</v>
      </c>
      <c r="B16" s="61" t="s">
        <v>67</v>
      </c>
      <c r="C16" s="63"/>
      <c r="D16" s="63" t="s">
        <v>11</v>
      </c>
      <c r="E16" s="64" t="s">
        <v>207</v>
      </c>
      <c r="F16" s="63"/>
    </row>
    <row r="17" spans="1:6" ht="45" x14ac:dyDescent="0.25">
      <c r="A17" s="110">
        <v>12</v>
      </c>
      <c r="B17" s="61" t="s">
        <v>68</v>
      </c>
      <c r="C17" s="63"/>
      <c r="D17" s="63" t="s">
        <v>11</v>
      </c>
      <c r="E17" s="64" t="s">
        <v>69</v>
      </c>
      <c r="F17" s="63"/>
    </row>
    <row r="18" spans="1:6" ht="61.5" customHeight="1" x14ac:dyDescent="0.25">
      <c r="A18" s="110">
        <v>13</v>
      </c>
      <c r="B18" s="61" t="s">
        <v>70</v>
      </c>
      <c r="C18" s="63"/>
      <c r="D18" s="63" t="s">
        <v>11</v>
      </c>
      <c r="E18" s="89" t="str">
        <f>'In Put'!B42</f>
        <v>Tarkeshwor Municipality-01(Sabik Sangla VDC 09'Ka'), Kathmandu District</v>
      </c>
      <c r="F18" s="88"/>
    </row>
    <row r="19" spans="1:6" ht="29.25" customHeight="1" x14ac:dyDescent="0.25">
      <c r="A19" s="110">
        <v>14</v>
      </c>
      <c r="B19" s="61" t="s">
        <v>71</v>
      </c>
      <c r="C19" s="63"/>
      <c r="D19" s="63" t="s">
        <v>11</v>
      </c>
      <c r="E19" s="64" t="s">
        <v>62</v>
      </c>
      <c r="F19" s="88"/>
    </row>
    <row r="20" spans="1:6" ht="30" x14ac:dyDescent="0.25">
      <c r="A20" s="110">
        <v>15</v>
      </c>
      <c r="B20" s="61" t="s">
        <v>72</v>
      </c>
      <c r="C20" s="63"/>
      <c r="D20" s="63" t="s">
        <v>11</v>
      </c>
      <c r="E20" s="64" t="s">
        <v>62</v>
      </c>
      <c r="F20" s="63"/>
    </row>
    <row r="21" spans="1:6" x14ac:dyDescent="0.25">
      <c r="A21" s="62"/>
      <c r="B21" s="61"/>
      <c r="C21" s="63"/>
      <c r="D21" s="63"/>
      <c r="E21" s="64"/>
      <c r="F21" s="63"/>
    </row>
    <row r="22" spans="1:6" x14ac:dyDescent="0.25">
      <c r="A22" s="62"/>
      <c r="B22" s="61"/>
      <c r="C22" s="63"/>
      <c r="D22" s="63"/>
      <c r="E22" s="64"/>
      <c r="F22" s="63"/>
    </row>
    <row r="23" spans="1:6" x14ac:dyDescent="0.25">
      <c r="A23" s="62"/>
      <c r="B23" s="61"/>
      <c r="C23" s="63"/>
      <c r="D23" s="63"/>
      <c r="E23" s="64"/>
      <c r="F23" s="63"/>
    </row>
    <row r="24" spans="1:6" x14ac:dyDescent="0.25">
      <c r="A24" s="62"/>
      <c r="B24" s="61"/>
      <c r="C24" s="63"/>
      <c r="D24" s="63"/>
      <c r="E24" s="64"/>
      <c r="F24" s="63"/>
    </row>
    <row r="25" spans="1:6" x14ac:dyDescent="0.25">
      <c r="A25" s="62"/>
      <c r="B25" s="61"/>
      <c r="C25" s="63"/>
      <c r="D25" s="63"/>
      <c r="E25" s="64"/>
      <c r="F25" s="63"/>
    </row>
    <row r="26" spans="1:6" x14ac:dyDescent="0.25">
      <c r="A26" s="62"/>
      <c r="B26" s="61"/>
      <c r="C26" s="63"/>
      <c r="D26" s="63"/>
      <c r="E26" s="64"/>
      <c r="F26" s="63"/>
    </row>
    <row r="27" spans="1:6" x14ac:dyDescent="0.25">
      <c r="A27" s="62"/>
      <c r="B27" s="61"/>
      <c r="C27" s="63"/>
      <c r="D27" s="63"/>
      <c r="E27" s="64"/>
      <c r="F27" s="63"/>
    </row>
    <row r="28" spans="1:6" x14ac:dyDescent="0.25">
      <c r="A28" s="62"/>
      <c r="B28" s="61"/>
      <c r="C28" s="63"/>
      <c r="D28" s="63"/>
      <c r="E28" s="64"/>
      <c r="F28" s="63"/>
    </row>
    <row r="29" spans="1:6" x14ac:dyDescent="0.25">
      <c r="A29" s="62"/>
      <c r="B29" s="61"/>
      <c r="C29" s="63"/>
      <c r="D29" s="63"/>
      <c r="E29" s="64"/>
      <c r="F29" s="63"/>
    </row>
    <row r="30" spans="1:6" x14ac:dyDescent="0.25">
      <c r="A30" s="62"/>
      <c r="B30" s="61"/>
      <c r="C30" s="63"/>
      <c r="D30" s="63"/>
      <c r="E30" s="64"/>
      <c r="F30" s="63"/>
    </row>
    <row r="31" spans="1:6" x14ac:dyDescent="0.25">
      <c r="A31" s="65"/>
      <c r="B31" s="66" t="s">
        <v>354</v>
      </c>
      <c r="C31" s="59"/>
      <c r="D31" s="59"/>
      <c r="E31" s="59"/>
      <c r="F31" s="63"/>
    </row>
    <row r="32" spans="1:6" ht="16.149999999999999" customHeight="1" x14ac:dyDescent="0.25">
      <c r="A32" s="12">
        <v>1</v>
      </c>
      <c r="B32" s="61" t="s">
        <v>54</v>
      </c>
      <c r="C32" s="63"/>
      <c r="D32" s="63" t="s">
        <v>11</v>
      </c>
      <c r="E32" s="63" t="s">
        <v>55</v>
      </c>
      <c r="F32" s="63"/>
    </row>
    <row r="33" spans="1:5" ht="18.600000000000001" customHeight="1" x14ac:dyDescent="0.25">
      <c r="A33" s="12">
        <v>2</v>
      </c>
      <c r="B33" s="61" t="s">
        <v>355</v>
      </c>
      <c r="C33" s="63"/>
      <c r="D33" s="63" t="s">
        <v>11</v>
      </c>
      <c r="E33" s="64" t="s">
        <v>184</v>
      </c>
    </row>
    <row r="34" spans="1:5" ht="30" x14ac:dyDescent="0.25">
      <c r="A34" s="13">
        <v>3</v>
      </c>
      <c r="B34" s="384" t="s">
        <v>356</v>
      </c>
      <c r="C34" s="63"/>
      <c r="D34" s="63" t="s">
        <v>11</v>
      </c>
      <c r="E34" s="64" t="s">
        <v>474</v>
      </c>
    </row>
    <row r="35" spans="1:5" ht="18" customHeight="1" x14ac:dyDescent="0.25">
      <c r="A35" s="12">
        <v>4</v>
      </c>
      <c r="B35" s="61" t="s">
        <v>357</v>
      </c>
      <c r="C35" s="63"/>
      <c r="D35" s="63" t="s">
        <v>11</v>
      </c>
      <c r="E35" s="385">
        <f>val!E25</f>
        <v>2835.76</v>
      </c>
    </row>
    <row r="36" spans="1:5" ht="30" x14ac:dyDescent="0.25">
      <c r="A36" s="13">
        <v>5</v>
      </c>
      <c r="B36" s="384" t="s">
        <v>358</v>
      </c>
      <c r="C36" s="63"/>
      <c r="D36" s="63" t="s">
        <v>11</v>
      </c>
      <c r="E36" s="64" t="s">
        <v>359</v>
      </c>
    </row>
    <row r="37" spans="1:5" ht="17.45" customHeight="1" x14ac:dyDescent="0.25">
      <c r="A37" s="12">
        <v>6</v>
      </c>
      <c r="B37" s="61" t="s">
        <v>360</v>
      </c>
      <c r="C37" s="63"/>
      <c r="D37" s="63" t="s">
        <v>11</v>
      </c>
      <c r="E37" s="64" t="s">
        <v>405</v>
      </c>
    </row>
    <row r="38" spans="1:5" x14ac:dyDescent="0.25">
      <c r="A38" s="12">
        <v>7</v>
      </c>
      <c r="B38" s="61" t="s">
        <v>361</v>
      </c>
      <c r="C38" s="63"/>
      <c r="D38" s="63" t="s">
        <v>11</v>
      </c>
      <c r="E38" s="64" t="s">
        <v>362</v>
      </c>
    </row>
    <row r="39" spans="1:5" ht="30" x14ac:dyDescent="0.25">
      <c r="A39" s="13">
        <v>8</v>
      </c>
      <c r="B39" s="384" t="s">
        <v>363</v>
      </c>
      <c r="C39" s="63"/>
      <c r="D39" s="63" t="s">
        <v>11</v>
      </c>
      <c r="E39" s="64" t="s">
        <v>364</v>
      </c>
    </row>
    <row r="40" spans="1:5" ht="16.149999999999999" customHeight="1" x14ac:dyDescent="0.25">
      <c r="A40" s="13">
        <v>10</v>
      </c>
      <c r="B40" s="386" t="s">
        <v>365</v>
      </c>
      <c r="C40" s="48"/>
      <c r="D40" s="48" t="s">
        <v>11</v>
      </c>
      <c r="E40" s="143" t="s">
        <v>478</v>
      </c>
    </row>
    <row r="41" spans="1:5" x14ac:dyDescent="0.25">
      <c r="A41" s="13">
        <v>11</v>
      </c>
      <c r="B41" s="386" t="s">
        <v>366</v>
      </c>
      <c r="C41" s="48"/>
      <c r="D41" s="48" t="s">
        <v>11</v>
      </c>
      <c r="E41" s="143" t="s">
        <v>477</v>
      </c>
    </row>
    <row r="42" spans="1:5" x14ac:dyDescent="0.25">
      <c r="A42" s="13">
        <v>12</v>
      </c>
      <c r="B42" s="386" t="s">
        <v>367</v>
      </c>
      <c r="C42" s="48"/>
      <c r="D42" s="48" t="s">
        <v>11</v>
      </c>
      <c r="E42" s="143" t="s">
        <v>475</v>
      </c>
    </row>
    <row r="43" spans="1:5" x14ac:dyDescent="0.25">
      <c r="A43" s="13">
        <v>9</v>
      </c>
      <c r="B43" s="435" t="s">
        <v>368</v>
      </c>
      <c r="C43" s="435"/>
      <c r="D43" s="63" t="s">
        <v>11</v>
      </c>
      <c r="E43" s="64" t="s">
        <v>369</v>
      </c>
    </row>
    <row r="44" spans="1:5" x14ac:dyDescent="0.25">
      <c r="A44" s="12">
        <v>10</v>
      </c>
      <c r="B44" s="61" t="s">
        <v>370</v>
      </c>
      <c r="C44" s="63"/>
      <c r="D44" s="63" t="s">
        <v>11</v>
      </c>
      <c r="E44" s="387" t="s">
        <v>476</v>
      </c>
    </row>
    <row r="45" spans="1:5" x14ac:dyDescent="0.25">
      <c r="A45" s="12">
        <v>11</v>
      </c>
      <c r="B45" s="61" t="s">
        <v>371</v>
      </c>
      <c r="C45" s="63"/>
      <c r="D45" s="63" t="s">
        <v>11</v>
      </c>
      <c r="E45" s="63" t="s">
        <v>372</v>
      </c>
    </row>
    <row r="46" spans="1:5" ht="30" x14ac:dyDescent="0.25">
      <c r="A46" s="12">
        <v>12</v>
      </c>
      <c r="B46" s="61" t="s">
        <v>64</v>
      </c>
      <c r="C46" s="63"/>
      <c r="D46" s="63" t="s">
        <v>11</v>
      </c>
      <c r="E46" s="12" t="s">
        <v>66</v>
      </c>
    </row>
    <row r="47" spans="1:5" x14ac:dyDescent="0.25">
      <c r="A47" s="12">
        <v>13</v>
      </c>
      <c r="B47" s="61" t="s">
        <v>373</v>
      </c>
      <c r="C47" s="63"/>
      <c r="D47" s="63" t="s">
        <v>11</v>
      </c>
      <c r="E47" s="63" t="s">
        <v>66</v>
      </c>
    </row>
    <row r="48" spans="1:5" x14ac:dyDescent="0.25">
      <c r="A48" s="13">
        <v>14</v>
      </c>
      <c r="B48" s="435" t="s">
        <v>374</v>
      </c>
      <c r="C48" s="435"/>
      <c r="D48" s="63" t="s">
        <v>11</v>
      </c>
      <c r="E48" s="63" t="s">
        <v>66</v>
      </c>
    </row>
    <row r="49" spans="1:5" x14ac:dyDescent="0.25">
      <c r="A49" s="13">
        <v>15</v>
      </c>
      <c r="B49" s="435" t="s">
        <v>375</v>
      </c>
      <c r="C49" s="435"/>
      <c r="D49" s="63" t="s">
        <v>11</v>
      </c>
      <c r="E49" s="64" t="s">
        <v>66</v>
      </c>
    </row>
    <row r="50" spans="1:5" x14ac:dyDescent="0.25">
      <c r="A50" s="12">
        <v>16</v>
      </c>
      <c r="B50" s="384" t="s">
        <v>376</v>
      </c>
      <c r="C50" s="63"/>
      <c r="D50" s="63" t="s">
        <v>11</v>
      </c>
      <c r="E50" s="64" t="s">
        <v>66</v>
      </c>
    </row>
    <row r="51" spans="1:5" x14ac:dyDescent="0.25">
      <c r="A51" s="13">
        <v>17</v>
      </c>
      <c r="B51" s="384" t="s">
        <v>377</v>
      </c>
      <c r="C51" s="63"/>
      <c r="D51" s="63" t="s">
        <v>11</v>
      </c>
      <c r="E51" s="64" t="s">
        <v>66</v>
      </c>
    </row>
    <row r="52" spans="1:5" x14ac:dyDescent="0.25">
      <c r="A52" s="13">
        <v>18</v>
      </c>
      <c r="B52" s="384" t="s">
        <v>378</v>
      </c>
      <c r="C52" s="63"/>
      <c r="D52" s="63" t="s">
        <v>11</v>
      </c>
      <c r="E52" s="64" t="s">
        <v>66</v>
      </c>
    </row>
    <row r="53" spans="1:5" x14ac:dyDescent="0.25">
      <c r="A53" s="12">
        <v>19</v>
      </c>
      <c r="B53" s="384" t="s">
        <v>379</v>
      </c>
      <c r="C53" s="63"/>
      <c r="D53" s="63" t="s">
        <v>11</v>
      </c>
      <c r="E53" s="64" t="s">
        <v>69</v>
      </c>
    </row>
    <row r="54" spans="1:5" x14ac:dyDescent="0.25">
      <c r="A54" s="13">
        <v>20</v>
      </c>
      <c r="B54" s="384" t="s">
        <v>380</v>
      </c>
      <c r="C54" s="63"/>
      <c r="D54" s="63" t="s">
        <v>11</v>
      </c>
      <c r="E54" s="64" t="s">
        <v>69</v>
      </c>
    </row>
    <row r="55" spans="1:5" ht="30" x14ac:dyDescent="0.25">
      <c r="A55" s="13">
        <v>21</v>
      </c>
      <c r="B55" s="384" t="s">
        <v>381</v>
      </c>
      <c r="C55" s="63"/>
      <c r="D55" s="63" t="s">
        <v>11</v>
      </c>
      <c r="E55" s="64" t="s">
        <v>69</v>
      </c>
    </row>
    <row r="56" spans="1:5" x14ac:dyDescent="0.25">
      <c r="A56" s="12">
        <v>22</v>
      </c>
      <c r="B56" s="384" t="s">
        <v>382</v>
      </c>
      <c r="C56" s="63"/>
      <c r="D56" s="63" t="s">
        <v>11</v>
      </c>
      <c r="E56" s="64" t="s">
        <v>69</v>
      </c>
    </row>
    <row r="57" spans="1:5" x14ac:dyDescent="0.25">
      <c r="A57" s="13">
        <v>23</v>
      </c>
      <c r="B57" s="384" t="s">
        <v>383</v>
      </c>
      <c r="C57" s="63"/>
      <c r="D57" s="63" t="s">
        <v>11</v>
      </c>
      <c r="E57" s="388">
        <f>E25</f>
        <v>0</v>
      </c>
    </row>
    <row r="59" spans="1:5" ht="15.75" x14ac:dyDescent="0.25">
      <c r="B59" s="96" t="s">
        <v>384</v>
      </c>
    </row>
    <row r="60" spans="1:5" x14ac:dyDescent="0.25">
      <c r="A60" s="5" t="s">
        <v>385</v>
      </c>
      <c r="B60" t="s">
        <v>386</v>
      </c>
      <c r="C60" s="412" t="s">
        <v>387</v>
      </c>
      <c r="D60" s="412"/>
      <c r="E60" t="s">
        <v>388</v>
      </c>
    </row>
    <row r="61" spans="1:5" x14ac:dyDescent="0.25">
      <c r="A61">
        <v>1</v>
      </c>
      <c r="B61" t="s">
        <v>389</v>
      </c>
      <c r="C61" s="412">
        <v>14.54</v>
      </c>
      <c r="D61" s="412"/>
      <c r="E61" t="s">
        <v>390</v>
      </c>
    </row>
    <row r="62" spans="1:5" x14ac:dyDescent="0.25">
      <c r="A62">
        <v>2</v>
      </c>
      <c r="B62" t="s">
        <v>391</v>
      </c>
      <c r="C62" s="412">
        <v>680</v>
      </c>
      <c r="D62" s="412"/>
      <c r="E62" t="s">
        <v>392</v>
      </c>
    </row>
    <row r="63" spans="1:5" x14ac:dyDescent="0.25">
      <c r="A63">
        <v>3</v>
      </c>
      <c r="B63" t="s">
        <v>393</v>
      </c>
      <c r="C63" s="412">
        <v>85</v>
      </c>
      <c r="D63" s="412"/>
      <c r="E63" t="s">
        <v>394</v>
      </c>
    </row>
    <row r="64" spans="1:5" x14ac:dyDescent="0.25">
      <c r="A64">
        <v>4</v>
      </c>
      <c r="B64" t="s">
        <v>395</v>
      </c>
      <c r="C64" s="412">
        <v>88</v>
      </c>
      <c r="D64" s="412"/>
      <c r="E64" t="s">
        <v>396</v>
      </c>
    </row>
    <row r="65" spans="1:5" x14ac:dyDescent="0.25">
      <c r="A65">
        <v>5</v>
      </c>
      <c r="B65" t="s">
        <v>397</v>
      </c>
      <c r="C65" s="412">
        <v>89</v>
      </c>
      <c r="D65" s="412"/>
      <c r="E65" t="s">
        <v>396</v>
      </c>
    </row>
    <row r="66" spans="1:5" x14ac:dyDescent="0.25">
      <c r="A66">
        <v>6</v>
      </c>
      <c r="B66" t="s">
        <v>398</v>
      </c>
      <c r="C66" s="412">
        <v>5600</v>
      </c>
      <c r="D66" s="412"/>
      <c r="E66" t="s">
        <v>396</v>
      </c>
    </row>
  </sheetData>
  <mergeCells count="10">
    <mergeCell ref="C65:D65"/>
    <mergeCell ref="C66:D66"/>
    <mergeCell ref="B43:C43"/>
    <mergeCell ref="B48:C48"/>
    <mergeCell ref="B49:C49"/>
    <mergeCell ref="C60:D60"/>
    <mergeCell ref="C61:D61"/>
    <mergeCell ref="C62:D62"/>
    <mergeCell ref="C63:D63"/>
    <mergeCell ref="C64:D64"/>
  </mergeCells>
  <pageMargins left="0.69791666666666663" right="0.7" top="0.75" bottom="0.75" header="0.3" footer="0.3"/>
  <pageSetup orientation="portrait" horizontalDpi="4294967293" r:id="rId1"/>
  <headerFooter>
    <oddFooter>&amp;R&amp;G</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G52"/>
  <sheetViews>
    <sheetView view="pageLayout" topLeftCell="A13" workbookViewId="0">
      <selection activeCell="E17" sqref="E17"/>
    </sheetView>
  </sheetViews>
  <sheetFormatPr defaultRowHeight="15" x14ac:dyDescent="0.25"/>
  <cols>
    <col min="3" max="3" width="30" customWidth="1"/>
    <col min="5" max="5" width="10.140625" bestFit="1" customWidth="1"/>
  </cols>
  <sheetData>
    <row r="2" spans="2:7" ht="18.75" x14ac:dyDescent="0.3">
      <c r="B2" s="6" t="s">
        <v>137</v>
      </c>
    </row>
    <row r="3" spans="2:7" ht="15.75" customHeight="1" x14ac:dyDescent="0.25">
      <c r="B3" s="418" t="s">
        <v>485</v>
      </c>
      <c r="C3" s="418"/>
      <c r="D3" s="418"/>
      <c r="E3" s="418"/>
      <c r="F3" s="418"/>
      <c r="G3" s="418"/>
    </row>
    <row r="4" spans="2:7" ht="18" customHeight="1" x14ac:dyDescent="0.25">
      <c r="B4" s="418"/>
      <c r="C4" s="418"/>
      <c r="D4" s="418"/>
      <c r="E4" s="418"/>
      <c r="F4" s="418"/>
      <c r="G4" s="418"/>
    </row>
    <row r="5" spans="2:7" ht="21" customHeight="1" x14ac:dyDescent="0.25">
      <c r="B5" s="418"/>
      <c r="C5" s="418"/>
      <c r="D5" s="418"/>
      <c r="E5" s="418"/>
      <c r="F5" s="418"/>
      <c r="G5" s="418"/>
    </row>
    <row r="6" spans="2:7" x14ac:dyDescent="0.25">
      <c r="B6" s="418"/>
      <c r="C6" s="418"/>
      <c r="D6" s="418"/>
      <c r="E6" s="418"/>
      <c r="F6" s="418"/>
      <c r="G6" s="418"/>
    </row>
    <row r="7" spans="2:7" x14ac:dyDescent="0.25">
      <c r="B7" s="22"/>
    </row>
    <row r="8" spans="2:7" x14ac:dyDescent="0.25">
      <c r="B8" s="436" t="s">
        <v>74</v>
      </c>
      <c r="C8" s="437"/>
      <c r="D8" s="437"/>
      <c r="E8" s="437"/>
    </row>
    <row r="9" spans="2:7" ht="18.75" x14ac:dyDescent="0.25">
      <c r="B9" s="67" t="s">
        <v>134</v>
      </c>
      <c r="C9" s="25"/>
      <c r="D9" s="25"/>
      <c r="E9" s="25"/>
    </row>
    <row r="10" spans="2:7" x14ac:dyDescent="0.25">
      <c r="B10" t="s">
        <v>75</v>
      </c>
    </row>
    <row r="11" spans="2:7" x14ac:dyDescent="0.25">
      <c r="B11" t="s">
        <v>76</v>
      </c>
      <c r="C11" t="s">
        <v>77</v>
      </c>
      <c r="D11" t="s">
        <v>11</v>
      </c>
      <c r="E11" s="10" t="s">
        <v>55</v>
      </c>
    </row>
    <row r="12" spans="2:7" x14ac:dyDescent="0.25">
      <c r="B12" t="s">
        <v>78</v>
      </c>
      <c r="C12" t="s">
        <v>79</v>
      </c>
      <c r="D12" t="s">
        <v>11</v>
      </c>
      <c r="E12" t="s">
        <v>80</v>
      </c>
    </row>
    <row r="13" spans="2:7" ht="27" customHeight="1" x14ac:dyDescent="0.25">
      <c r="B13" t="s">
        <v>81</v>
      </c>
      <c r="C13" s="12" t="s">
        <v>82</v>
      </c>
      <c r="D13" t="s">
        <v>11</v>
      </c>
      <c r="E13" s="438" t="str">
        <f>'In Put'!B29</f>
        <v>Mrs. Lila Khatri</v>
      </c>
      <c r="F13" s="438"/>
      <c r="G13" s="438"/>
    </row>
    <row r="14" spans="2:7" x14ac:dyDescent="0.25">
      <c r="B14" t="s">
        <v>83</v>
      </c>
      <c r="C14" t="s">
        <v>86</v>
      </c>
      <c r="D14" t="s">
        <v>11</v>
      </c>
      <c r="E14" t="s">
        <v>87</v>
      </c>
    </row>
    <row r="15" spans="2:7" x14ac:dyDescent="0.25">
      <c r="B15" s="11" t="s">
        <v>88</v>
      </c>
    </row>
    <row r="16" spans="2:7" ht="30" x14ac:dyDescent="0.25">
      <c r="B16" s="12" t="s">
        <v>76</v>
      </c>
      <c r="C16" s="9" t="s">
        <v>102</v>
      </c>
      <c r="D16" t="s">
        <v>11</v>
      </c>
      <c r="E16" t="s">
        <v>66</v>
      </c>
    </row>
    <row r="17" spans="2:5" x14ac:dyDescent="0.25">
      <c r="B17" s="12" t="s">
        <v>78</v>
      </c>
      <c r="C17" s="9" t="s">
        <v>142</v>
      </c>
      <c r="D17" t="s">
        <v>11</v>
      </c>
      <c r="E17" s="407" t="s">
        <v>479</v>
      </c>
    </row>
    <row r="18" spans="2:5" x14ac:dyDescent="0.25">
      <c r="B18" s="13" t="s">
        <v>81</v>
      </c>
      <c r="C18" s="9" t="s">
        <v>86</v>
      </c>
      <c r="D18" t="s">
        <v>11</v>
      </c>
      <c r="E18" s="10" t="s">
        <v>69</v>
      </c>
    </row>
    <row r="20" spans="2:5" x14ac:dyDescent="0.25">
      <c r="B20" s="11" t="s">
        <v>89</v>
      </c>
    </row>
    <row r="21" spans="2:5" x14ac:dyDescent="0.25">
      <c r="B21" t="s">
        <v>76</v>
      </c>
      <c r="C21" t="s">
        <v>90</v>
      </c>
      <c r="D21" t="s">
        <v>11</v>
      </c>
      <c r="E21" t="s">
        <v>181</v>
      </c>
    </row>
    <row r="22" spans="2:5" x14ac:dyDescent="0.25">
      <c r="B22" t="s">
        <v>78</v>
      </c>
      <c r="C22" t="s">
        <v>91</v>
      </c>
      <c r="D22" t="s">
        <v>11</v>
      </c>
      <c r="E22" s="353" t="s">
        <v>480</v>
      </c>
    </row>
    <row r="23" spans="2:5" ht="60" x14ac:dyDescent="0.25">
      <c r="B23" s="14" t="s">
        <v>81</v>
      </c>
      <c r="C23" s="15" t="s">
        <v>223</v>
      </c>
      <c r="D23" s="12" t="s">
        <v>11</v>
      </c>
      <c r="E23" s="12" t="s">
        <v>66</v>
      </c>
    </row>
    <row r="24" spans="2:5" x14ac:dyDescent="0.25">
      <c r="B24" t="s">
        <v>83</v>
      </c>
      <c r="C24" t="s">
        <v>86</v>
      </c>
      <c r="D24" t="s">
        <v>11</v>
      </c>
      <c r="E24" t="s">
        <v>62</v>
      </c>
    </row>
    <row r="26" spans="2:5" x14ac:dyDescent="0.25">
      <c r="B26" s="11" t="s">
        <v>92</v>
      </c>
    </row>
    <row r="27" spans="2:5" x14ac:dyDescent="0.25">
      <c r="B27" t="s">
        <v>76</v>
      </c>
      <c r="C27" t="s">
        <v>93</v>
      </c>
      <c r="D27" t="s">
        <v>11</v>
      </c>
      <c r="E27" t="s">
        <v>66</v>
      </c>
    </row>
    <row r="28" spans="2:5" ht="47.25" customHeight="1" x14ac:dyDescent="0.25">
      <c r="B28" s="13" t="s">
        <v>78</v>
      </c>
      <c r="C28" s="16" t="s">
        <v>94</v>
      </c>
      <c r="D28" s="12"/>
      <c r="E28" s="12" t="s">
        <v>66</v>
      </c>
    </row>
    <row r="29" spans="2:5" ht="30" x14ac:dyDescent="0.25">
      <c r="B29" s="17" t="s">
        <v>81</v>
      </c>
      <c r="C29" s="18" t="s">
        <v>95</v>
      </c>
      <c r="D29" s="12" t="s">
        <v>11</v>
      </c>
      <c r="E29" s="12" t="s">
        <v>66</v>
      </c>
    </row>
    <row r="30" spans="2:5" x14ac:dyDescent="0.25">
      <c r="B30" t="s">
        <v>83</v>
      </c>
      <c r="C30" s="18" t="s">
        <v>86</v>
      </c>
      <c r="D30" s="12" t="s">
        <v>11</v>
      </c>
      <c r="E30" t="s">
        <v>62</v>
      </c>
    </row>
    <row r="31" spans="2:5" x14ac:dyDescent="0.25">
      <c r="B31" s="17"/>
      <c r="C31" s="18"/>
      <c r="D31" s="12"/>
      <c r="E31" s="12"/>
    </row>
    <row r="32" spans="2:5" ht="75" x14ac:dyDescent="0.25">
      <c r="B32" s="17" t="s">
        <v>84</v>
      </c>
      <c r="C32" s="18" t="s">
        <v>96</v>
      </c>
      <c r="D32" s="12" t="s">
        <v>11</v>
      </c>
      <c r="E32" s="12" t="s">
        <v>420</v>
      </c>
    </row>
    <row r="33" spans="2:5" x14ac:dyDescent="0.25">
      <c r="B33" s="17" t="s">
        <v>85</v>
      </c>
      <c r="C33" s="18" t="s">
        <v>86</v>
      </c>
      <c r="D33" s="12" t="s">
        <v>11</v>
      </c>
      <c r="E33" s="12" t="s">
        <v>62</v>
      </c>
    </row>
    <row r="34" spans="2:5" x14ac:dyDescent="0.25">
      <c r="B34" s="17"/>
      <c r="C34" s="18"/>
      <c r="D34" s="12"/>
      <c r="E34" s="12"/>
    </row>
    <row r="35" spans="2:5" x14ac:dyDescent="0.25">
      <c r="B35" s="17"/>
      <c r="C35" s="18"/>
      <c r="D35" s="12"/>
      <c r="E35" s="12"/>
    </row>
    <row r="36" spans="2:5" ht="25.5" x14ac:dyDescent="0.25">
      <c r="B36" s="17"/>
      <c r="C36" s="19" t="s">
        <v>139</v>
      </c>
      <c r="D36" s="12"/>
      <c r="E36" s="12"/>
    </row>
    <row r="37" spans="2:5" ht="30" x14ac:dyDescent="0.25">
      <c r="B37" s="17" t="s">
        <v>76</v>
      </c>
      <c r="C37" s="18" t="s">
        <v>140</v>
      </c>
      <c r="D37" s="12" t="s">
        <v>11</v>
      </c>
      <c r="E37" s="12" t="s">
        <v>66</v>
      </c>
    </row>
    <row r="38" spans="2:5" x14ac:dyDescent="0.25">
      <c r="B38" s="17" t="s">
        <v>78</v>
      </c>
      <c r="C38" s="18" t="s">
        <v>141</v>
      </c>
      <c r="D38" s="12"/>
      <c r="E38" s="408" t="s">
        <v>481</v>
      </c>
    </row>
    <row r="39" spans="2:5" x14ac:dyDescent="0.25">
      <c r="B39" s="17" t="s">
        <v>81</v>
      </c>
      <c r="C39" s="18" t="s">
        <v>86</v>
      </c>
      <c r="D39" s="12" t="s">
        <v>11</v>
      </c>
      <c r="E39" s="12" t="s">
        <v>87</v>
      </c>
    </row>
    <row r="40" spans="2:5" x14ac:dyDescent="0.25">
      <c r="B40" s="17"/>
      <c r="C40" s="18"/>
      <c r="D40" s="12"/>
      <c r="E40" s="12"/>
    </row>
    <row r="41" spans="2:5" x14ac:dyDescent="0.25">
      <c r="B41" s="17"/>
      <c r="C41" s="18"/>
    </row>
    <row r="42" spans="2:5" x14ac:dyDescent="0.25">
      <c r="B42" s="17"/>
      <c r="C42" s="19" t="s">
        <v>59</v>
      </c>
    </row>
    <row r="43" spans="2:5" ht="30" x14ac:dyDescent="0.25">
      <c r="B43" s="17" t="s">
        <v>76</v>
      </c>
      <c r="C43" s="18" t="s">
        <v>97</v>
      </c>
      <c r="D43" s="12" t="s">
        <v>11</v>
      </c>
      <c r="E43" t="s">
        <v>66</v>
      </c>
    </row>
    <row r="44" spans="2:5" ht="75" x14ac:dyDescent="0.25">
      <c r="B44" s="17" t="s">
        <v>78</v>
      </c>
      <c r="C44" s="20" t="s">
        <v>98</v>
      </c>
      <c r="D44" s="12" t="s">
        <v>11</v>
      </c>
      <c r="E44" s="12" t="s">
        <v>69</v>
      </c>
    </row>
    <row r="45" spans="2:5" ht="45" x14ac:dyDescent="0.25">
      <c r="B45" s="17" t="s">
        <v>81</v>
      </c>
      <c r="C45" s="20" t="s">
        <v>99</v>
      </c>
      <c r="D45" s="12" t="s">
        <v>11</v>
      </c>
      <c r="E45" s="12" t="s">
        <v>66</v>
      </c>
    </row>
    <row r="46" spans="2:5" x14ac:dyDescent="0.25">
      <c r="B46" s="17" t="s">
        <v>83</v>
      </c>
      <c r="C46" s="20" t="s">
        <v>86</v>
      </c>
      <c r="D46" s="12" t="s">
        <v>11</v>
      </c>
      <c r="E46" s="12" t="s">
        <v>69</v>
      </c>
    </row>
    <row r="47" spans="2:5" x14ac:dyDescent="0.25">
      <c r="C47" s="20"/>
      <c r="D47" s="12"/>
      <c r="E47" s="12"/>
    </row>
    <row r="48" spans="2:5" ht="15.75" hidden="1" x14ac:dyDescent="0.25">
      <c r="B48" s="96" t="s">
        <v>183</v>
      </c>
    </row>
    <row r="49" spans="2:5" ht="15.75" hidden="1" x14ac:dyDescent="0.25">
      <c r="B49" s="21">
        <v>1</v>
      </c>
      <c r="C49" s="97" t="s">
        <v>185</v>
      </c>
      <c r="E49" t="s">
        <v>66</v>
      </c>
    </row>
    <row r="50" spans="2:5" ht="15.75" hidden="1" x14ac:dyDescent="0.25">
      <c r="B50" s="21">
        <v>2</v>
      </c>
      <c r="C50" s="97" t="s">
        <v>186</v>
      </c>
      <c r="E50" t="s">
        <v>66</v>
      </c>
    </row>
    <row r="51" spans="2:5" hidden="1" x14ac:dyDescent="0.25">
      <c r="B51" s="21">
        <v>3</v>
      </c>
      <c r="C51" t="s">
        <v>187</v>
      </c>
      <c r="E51" t="s">
        <v>62</v>
      </c>
    </row>
    <row r="52" spans="2:5" ht="15.75" hidden="1" x14ac:dyDescent="0.25">
      <c r="B52" s="21">
        <v>4</v>
      </c>
      <c r="C52" s="97" t="s">
        <v>188</v>
      </c>
      <c r="E52" t="s">
        <v>62</v>
      </c>
    </row>
  </sheetData>
  <mergeCells count="3">
    <mergeCell ref="B8:E8"/>
    <mergeCell ref="B3:G6"/>
    <mergeCell ref="E13:G13"/>
  </mergeCells>
  <pageMargins left="0.7" right="0.7" top="0.75" bottom="0.75" header="0.3" footer="0.3"/>
  <pageSetup orientation="portrait" horizontalDpi="4294967293" r:id="rId1"/>
  <headerFooter>
    <oddFooter>&amp;R&amp;G</oddFoot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55"/>
  <sheetViews>
    <sheetView view="pageLayout" topLeftCell="A13" zoomScaleNormal="100" workbookViewId="0">
      <selection activeCell="M2" sqref="M2:O2"/>
    </sheetView>
  </sheetViews>
  <sheetFormatPr defaultRowHeight="15" x14ac:dyDescent="0.25"/>
  <cols>
    <col min="1" max="1" width="30.7109375" customWidth="1"/>
    <col min="3" max="3" width="16.28515625" customWidth="1"/>
    <col min="4" max="4" width="14.140625" customWidth="1"/>
    <col min="5" max="5" width="14.5703125" customWidth="1"/>
    <col min="6" max="6" width="12.28515625" customWidth="1"/>
    <col min="8" max="8" width="11.42578125" customWidth="1"/>
    <col min="9" max="9" width="9.140625" customWidth="1"/>
  </cols>
  <sheetData>
    <row r="1" spans="1:9" ht="18" x14ac:dyDescent="0.25">
      <c r="A1" s="445" t="s">
        <v>325</v>
      </c>
      <c r="B1" s="446"/>
      <c r="C1" s="446"/>
      <c r="D1" s="446"/>
      <c r="E1" s="446"/>
      <c r="F1" s="446"/>
      <c r="G1" s="446"/>
      <c r="H1" s="446"/>
      <c r="I1" s="447"/>
    </row>
    <row r="2" spans="1:9" ht="18" x14ac:dyDescent="0.25">
      <c r="A2" s="330" t="s">
        <v>268</v>
      </c>
      <c r="B2" s="448" t="s">
        <v>432</v>
      </c>
      <c r="C2" s="448"/>
      <c r="D2" s="349"/>
      <c r="E2" s="349"/>
      <c r="F2" s="460" t="s">
        <v>315</v>
      </c>
      <c r="G2" s="460"/>
      <c r="H2" s="461">
        <f>summary!O2</f>
        <v>44956</v>
      </c>
      <c r="I2" s="462"/>
    </row>
    <row r="3" spans="1:9" ht="18" customHeight="1" x14ac:dyDescent="0.25">
      <c r="A3" s="315" t="s">
        <v>269</v>
      </c>
      <c r="B3" s="449" t="s">
        <v>316</v>
      </c>
      <c r="C3" s="449"/>
      <c r="D3" s="209"/>
      <c r="E3" s="450" t="s">
        <v>270</v>
      </c>
      <c r="F3" s="450"/>
      <c r="G3" s="450"/>
      <c r="H3" s="450"/>
      <c r="I3" s="451"/>
    </row>
    <row r="4" spans="1:9" ht="27" customHeight="1" x14ac:dyDescent="0.25">
      <c r="A4" s="316" t="s">
        <v>317</v>
      </c>
      <c r="B4" s="459" t="s">
        <v>441</v>
      </c>
      <c r="C4" s="459"/>
      <c r="D4" s="459"/>
      <c r="E4" s="212"/>
      <c r="F4" s="211"/>
      <c r="G4" s="211"/>
      <c r="H4" s="211"/>
      <c r="I4" s="317"/>
    </row>
    <row r="5" spans="1:9" ht="18" customHeight="1" x14ac:dyDescent="0.25">
      <c r="A5" s="315" t="s">
        <v>271</v>
      </c>
      <c r="B5" s="257" t="str">
        <f>'In Put'!B29</f>
        <v>Mrs. Lila Khatri</v>
      </c>
      <c r="C5" s="213"/>
      <c r="D5" s="214"/>
      <c r="E5" s="211"/>
      <c r="F5" s="215"/>
      <c r="G5" s="216"/>
      <c r="H5" s="216"/>
      <c r="I5" s="317"/>
    </row>
    <row r="6" spans="1:9" ht="36.6" customHeight="1" x14ac:dyDescent="0.25">
      <c r="A6" s="318" t="s">
        <v>272</v>
      </c>
      <c r="B6" s="452" t="str">
        <f>'In Put'!B42</f>
        <v>Tarkeshwor Municipality-01(Sabik Sangla VDC 09'Ka'), Kathmandu District</v>
      </c>
      <c r="C6" s="452"/>
      <c r="D6" s="452"/>
      <c r="E6" s="217"/>
      <c r="F6" s="211"/>
      <c r="G6" s="211"/>
      <c r="H6" s="211"/>
      <c r="I6" s="317"/>
    </row>
    <row r="7" spans="1:9" x14ac:dyDescent="0.25">
      <c r="A7" s="319" t="s">
        <v>263</v>
      </c>
      <c r="B7" s="453">
        <f>'In Put'!B43</f>
        <v>791</v>
      </c>
      <c r="C7" s="454"/>
      <c r="D7" s="217"/>
      <c r="E7" s="217"/>
      <c r="F7" s="211"/>
      <c r="G7" s="211"/>
      <c r="H7" s="211"/>
      <c r="I7" s="317"/>
    </row>
    <row r="8" spans="1:9" ht="14.45" customHeight="1" x14ac:dyDescent="0.25">
      <c r="A8" s="320"/>
      <c r="B8" s="218"/>
      <c r="C8" s="219"/>
      <c r="D8" s="219"/>
      <c r="E8" s="290" t="s">
        <v>273</v>
      </c>
      <c r="F8" s="215"/>
      <c r="G8" s="211"/>
      <c r="H8" s="211"/>
      <c r="I8" s="321"/>
    </row>
    <row r="9" spans="1:9" ht="14.45" customHeight="1" x14ac:dyDescent="0.25">
      <c r="A9" s="319"/>
      <c r="B9" s="220"/>
      <c r="C9" s="211"/>
      <c r="D9" s="219"/>
      <c r="E9" s="264" t="s">
        <v>131</v>
      </c>
      <c r="F9" s="265" t="s">
        <v>49</v>
      </c>
      <c r="G9" s="265" t="s">
        <v>197</v>
      </c>
      <c r="H9" s="265" t="s">
        <v>199</v>
      </c>
      <c r="I9" s="322" t="s">
        <v>52</v>
      </c>
    </row>
    <row r="10" spans="1:9" x14ac:dyDescent="0.25">
      <c r="A10" s="319" t="s">
        <v>10</v>
      </c>
      <c r="B10" s="455" t="s">
        <v>434</v>
      </c>
      <c r="C10" s="455"/>
      <c r="D10" s="455"/>
      <c r="E10" s="456">
        <f>summary!A16</f>
        <v>791</v>
      </c>
      <c r="F10" s="442" t="str">
        <f>summary!C16</f>
        <v>Plot no. 792</v>
      </c>
      <c r="G10" s="442" t="str">
        <f>summary!D16</f>
        <v>Plot No.790</v>
      </c>
      <c r="H10" s="442" t="str">
        <f>summary!G16</f>
        <v>Plot no. 785</v>
      </c>
      <c r="I10" s="442" t="str">
        <f>summary!I16</f>
        <v>Road</v>
      </c>
    </row>
    <row r="11" spans="1:9" ht="42.6" customHeight="1" x14ac:dyDescent="0.25">
      <c r="A11" s="316" t="s">
        <v>318</v>
      </c>
      <c r="B11" s="443" t="s">
        <v>433</v>
      </c>
      <c r="C11" s="444"/>
      <c r="D11" s="216"/>
      <c r="E11" s="457"/>
      <c r="F11" s="458"/>
      <c r="G11" s="442"/>
      <c r="H11" s="442"/>
      <c r="I11" s="442"/>
    </row>
    <row r="12" spans="1:9" ht="34.15" customHeight="1" x14ac:dyDescent="0.25">
      <c r="A12" s="323" t="s">
        <v>30</v>
      </c>
      <c r="B12" s="213" t="s">
        <v>412</v>
      </c>
      <c r="C12" s="213"/>
      <c r="D12" s="211"/>
      <c r="E12" s="439"/>
      <c r="F12" s="440"/>
      <c r="G12" s="440"/>
      <c r="H12" s="440"/>
      <c r="I12" s="440"/>
    </row>
    <row r="13" spans="1:9" x14ac:dyDescent="0.25">
      <c r="A13" s="315"/>
      <c r="B13" s="211"/>
      <c r="C13" s="211"/>
      <c r="D13" s="211"/>
      <c r="E13" s="430"/>
      <c r="F13" s="441"/>
      <c r="G13" s="440"/>
      <c r="H13" s="440"/>
      <c r="I13" s="440"/>
    </row>
    <row r="14" spans="1:9" x14ac:dyDescent="0.25">
      <c r="A14" s="315" t="s">
        <v>274</v>
      </c>
      <c r="B14" s="215"/>
      <c r="C14" s="222" t="s">
        <v>275</v>
      </c>
      <c r="D14" s="221"/>
      <c r="E14" s="215"/>
      <c r="F14" s="211" t="s">
        <v>218</v>
      </c>
      <c r="G14" s="215"/>
      <c r="H14" s="222" t="s">
        <v>319</v>
      </c>
      <c r="I14" s="317"/>
    </row>
    <row r="15" spans="1:9" x14ac:dyDescent="0.25">
      <c r="A15" s="324"/>
      <c r="B15" s="215"/>
      <c r="C15" s="223" t="s">
        <v>276</v>
      </c>
      <c r="D15" s="221"/>
      <c r="E15" s="215"/>
      <c r="F15" s="222" t="s">
        <v>277</v>
      </c>
      <c r="G15" s="221"/>
      <c r="H15" s="221"/>
      <c r="I15" s="317"/>
    </row>
    <row r="16" spans="1:9" x14ac:dyDescent="0.25">
      <c r="A16" s="324"/>
      <c r="B16" s="221"/>
      <c r="C16" s="222"/>
      <c r="D16" s="221"/>
      <c r="E16" s="221"/>
      <c r="F16" s="222"/>
      <c r="G16" s="211"/>
      <c r="H16" s="221"/>
      <c r="I16" s="317"/>
    </row>
    <row r="17" spans="1:9" x14ac:dyDescent="0.25">
      <c r="A17" s="325" t="s">
        <v>278</v>
      </c>
      <c r="B17" s="224"/>
      <c r="C17" s="291" t="s">
        <v>66</v>
      </c>
      <c r="D17" s="224"/>
      <c r="E17" s="226" t="s">
        <v>69</v>
      </c>
      <c r="F17" s="225"/>
      <c r="G17" s="226"/>
      <c r="H17" s="225"/>
      <c r="I17" s="226"/>
    </row>
    <row r="18" spans="1:9" x14ac:dyDescent="0.25">
      <c r="A18" s="325" t="s">
        <v>279</v>
      </c>
      <c r="B18" s="224"/>
      <c r="C18" s="227" t="s">
        <v>66</v>
      </c>
      <c r="D18" s="224"/>
      <c r="E18" s="228" t="s">
        <v>69</v>
      </c>
      <c r="F18" s="225"/>
      <c r="G18" s="226"/>
      <c r="H18" s="225"/>
      <c r="I18" s="226"/>
    </row>
    <row r="19" spans="1:9" x14ac:dyDescent="0.25">
      <c r="A19" s="326" t="s">
        <v>280</v>
      </c>
      <c r="B19" s="224"/>
      <c r="C19" s="227" t="s">
        <v>66</v>
      </c>
      <c r="D19" s="224"/>
      <c r="E19" s="228" t="s">
        <v>69</v>
      </c>
      <c r="F19" s="225"/>
      <c r="G19" s="226"/>
      <c r="H19" s="225"/>
      <c r="I19" s="226"/>
    </row>
    <row r="20" spans="1:9" x14ac:dyDescent="0.25">
      <c r="A20" s="327" t="s">
        <v>281</v>
      </c>
      <c r="B20" s="224"/>
      <c r="C20" s="229" t="s">
        <v>282</v>
      </c>
      <c r="D20" s="224"/>
      <c r="E20" s="230" t="s">
        <v>283</v>
      </c>
      <c r="F20" s="215"/>
      <c r="G20" s="226" t="s">
        <v>284</v>
      </c>
      <c r="H20" s="215"/>
      <c r="I20" s="226" t="s">
        <v>285</v>
      </c>
    </row>
    <row r="21" spans="1:9" x14ac:dyDescent="0.25">
      <c r="A21" s="328" t="s">
        <v>286</v>
      </c>
      <c r="B21" s="224"/>
      <c r="C21" s="210" t="s">
        <v>287</v>
      </c>
      <c r="D21" s="224"/>
      <c r="E21" s="231" t="s">
        <v>288</v>
      </c>
      <c r="G21" s="215"/>
      <c r="H21" s="250" t="s">
        <v>289</v>
      </c>
      <c r="I21" s="226"/>
    </row>
    <row r="22" spans="1:9" x14ac:dyDescent="0.25">
      <c r="A22" s="328" t="s">
        <v>290</v>
      </c>
      <c r="B22" s="224"/>
      <c r="C22" s="227" t="s">
        <v>181</v>
      </c>
      <c r="D22" s="224"/>
      <c r="E22" s="227" t="s">
        <v>291</v>
      </c>
      <c r="F22" s="215"/>
      <c r="G22" s="227" t="s">
        <v>292</v>
      </c>
      <c r="H22" s="225"/>
      <c r="I22" s="226"/>
    </row>
    <row r="23" spans="1:9" x14ac:dyDescent="0.25">
      <c r="A23" s="325" t="s">
        <v>293</v>
      </c>
      <c r="B23" s="224"/>
      <c r="C23" s="233" t="s">
        <v>80</v>
      </c>
      <c r="D23" s="224"/>
      <c r="E23" s="232" t="s">
        <v>294</v>
      </c>
      <c r="F23" s="225"/>
      <c r="G23" s="226"/>
      <c r="H23" s="225"/>
      <c r="I23" s="226"/>
    </row>
    <row r="24" spans="1:9" x14ac:dyDescent="0.25">
      <c r="A24" s="329" t="s">
        <v>295</v>
      </c>
      <c r="B24" s="224"/>
      <c r="C24" s="234" t="s">
        <v>296</v>
      </c>
      <c r="D24" s="235"/>
      <c r="E24" s="236"/>
      <c r="F24" s="225"/>
      <c r="G24" s="226"/>
      <c r="H24" s="225"/>
      <c r="I24" s="226"/>
    </row>
    <row r="25" spans="1:9" x14ac:dyDescent="0.25">
      <c r="A25" s="330"/>
      <c r="B25" s="237"/>
      <c r="C25" s="238"/>
      <c r="D25" s="237"/>
      <c r="E25" s="238"/>
      <c r="F25" s="237"/>
      <c r="G25" s="238"/>
      <c r="H25" s="238"/>
      <c r="I25" s="317"/>
    </row>
    <row r="26" spans="1:9" ht="26.45" customHeight="1" x14ac:dyDescent="0.25">
      <c r="A26" s="345"/>
      <c r="B26" s="346" t="s">
        <v>297</v>
      </c>
      <c r="C26" s="227"/>
      <c r="D26" s="347" t="s">
        <v>321</v>
      </c>
      <c r="E26" s="348" t="s">
        <v>322</v>
      </c>
      <c r="F26" s="479" t="s">
        <v>298</v>
      </c>
      <c r="G26" s="479"/>
      <c r="H26" s="479" t="s">
        <v>323</v>
      </c>
      <c r="I26" s="480"/>
    </row>
    <row r="27" spans="1:9" x14ac:dyDescent="0.25">
      <c r="A27" s="333" t="s">
        <v>299</v>
      </c>
      <c r="B27" s="342">
        <f>summary!I11</f>
        <v>93.798559999999995</v>
      </c>
      <c r="C27" s="253"/>
      <c r="D27" s="343">
        <f>val!F10</f>
        <v>3500000</v>
      </c>
      <c r="E27" s="344">
        <f>val!F9</f>
        <v>560000</v>
      </c>
      <c r="F27" s="463">
        <f>val!G41</f>
        <v>7723100</v>
      </c>
      <c r="G27" s="463"/>
      <c r="H27" s="464">
        <f>val!H41</f>
        <v>6178480</v>
      </c>
      <c r="I27" s="465"/>
    </row>
    <row r="28" spans="1:9" x14ac:dyDescent="0.25">
      <c r="A28" s="331"/>
      <c r="B28" s="251"/>
      <c r="C28" s="239"/>
      <c r="D28" s="211"/>
      <c r="E28" s="241"/>
      <c r="F28" s="252"/>
      <c r="G28" s="240"/>
      <c r="H28" s="252"/>
      <c r="I28" s="332"/>
    </row>
    <row r="29" spans="1:9" x14ac:dyDescent="0.25">
      <c r="A29" s="333" t="s">
        <v>300</v>
      </c>
      <c r="B29" s="394">
        <f>val!E25</f>
        <v>2835.76</v>
      </c>
      <c r="C29" s="395" t="s">
        <v>435</v>
      </c>
      <c r="D29" s="394">
        <f>val!G36</f>
        <v>10917676</v>
      </c>
      <c r="E29" s="254"/>
      <c r="F29" s="466">
        <f>val!F42</f>
        <v>10917676</v>
      </c>
      <c r="G29" s="466"/>
      <c r="H29" s="464">
        <f>val!H42</f>
        <v>8734140.8000000007</v>
      </c>
      <c r="I29" s="465"/>
    </row>
    <row r="30" spans="1:9" x14ac:dyDescent="0.25">
      <c r="A30" s="334" t="s">
        <v>301</v>
      </c>
      <c r="B30" s="243"/>
      <c r="C30" s="245"/>
      <c r="D30" s="244"/>
      <c r="E30" s="245"/>
      <c r="F30" s="467"/>
      <c r="G30" s="467"/>
      <c r="H30" s="467"/>
      <c r="I30" s="477"/>
    </row>
    <row r="31" spans="1:9" x14ac:dyDescent="0.25">
      <c r="A31" s="334" t="s">
        <v>302</v>
      </c>
      <c r="B31" s="243"/>
      <c r="C31" s="245"/>
      <c r="D31" s="244"/>
      <c r="E31" s="245"/>
      <c r="F31" s="467"/>
      <c r="G31" s="467"/>
      <c r="H31" s="467"/>
      <c r="I31" s="477"/>
    </row>
    <row r="32" spans="1:9" x14ac:dyDescent="0.25">
      <c r="A32" s="334" t="s">
        <v>303</v>
      </c>
      <c r="B32" s="243"/>
      <c r="C32" s="245"/>
      <c r="D32" s="244"/>
      <c r="E32" s="245"/>
      <c r="F32" s="467"/>
      <c r="G32" s="467"/>
      <c r="H32" s="467"/>
      <c r="I32" s="477"/>
    </row>
    <row r="33" spans="1:9" x14ac:dyDescent="0.25">
      <c r="A33" s="334" t="s">
        <v>250</v>
      </c>
      <c r="B33" s="255"/>
      <c r="C33" s="245"/>
      <c r="D33" s="470"/>
      <c r="E33" s="470"/>
      <c r="F33" s="478">
        <f>SUM(F27:G32)</f>
        <v>18640776</v>
      </c>
      <c r="G33" s="478"/>
      <c r="H33" s="464">
        <f>SUM(H27:I32)</f>
        <v>14912620.800000001</v>
      </c>
      <c r="I33" s="465"/>
    </row>
    <row r="34" spans="1:9" ht="16.149999999999999" customHeight="1" x14ac:dyDescent="0.25">
      <c r="A34" s="335" t="s">
        <v>320</v>
      </c>
      <c r="B34" s="233"/>
      <c r="C34" s="233"/>
      <c r="D34" s="233"/>
      <c r="E34" s="256" t="s">
        <v>231</v>
      </c>
      <c r="F34" s="464">
        <f>summary!H23</f>
        <v>18640000</v>
      </c>
      <c r="G34" s="464"/>
      <c r="H34" s="464">
        <f>summary!J23</f>
        <v>14912000</v>
      </c>
      <c r="I34" s="465"/>
    </row>
    <row r="35" spans="1:9" ht="42" customHeight="1" x14ac:dyDescent="0.25">
      <c r="A35" s="471" t="str">
        <f>val!A45</f>
        <v>On the basis of the details provided by Client and Field verification, At Present Fair Market Value of property is 18,640,000.00 In Words: NRs Eighteen Million  and Six Hundred and Forty  Thousands Only. At Present Distress Value of property is 14,912,000.00 In Words: NRs Fourteen Million Nine Hundred and Twelve Thousands Only.</v>
      </c>
      <c r="B35" s="472"/>
      <c r="C35" s="472"/>
      <c r="D35" s="472"/>
      <c r="E35" s="472"/>
      <c r="F35" s="472"/>
      <c r="G35" s="472"/>
      <c r="H35" s="472"/>
      <c r="I35" s="473"/>
    </row>
    <row r="36" spans="1:9" x14ac:dyDescent="0.25">
      <c r="A36" s="330" t="s">
        <v>304</v>
      </c>
      <c r="B36" s="237"/>
      <c r="C36" s="238"/>
      <c r="D36" s="242"/>
      <c r="E36" s="238"/>
      <c r="F36" s="238"/>
      <c r="G36" s="238"/>
      <c r="H36" s="238"/>
      <c r="I36" s="317"/>
    </row>
    <row r="37" spans="1:9" x14ac:dyDescent="0.25">
      <c r="A37" s="336" t="s">
        <v>436</v>
      </c>
      <c r="B37" s="237"/>
      <c r="C37" s="238"/>
      <c r="D37" s="242"/>
      <c r="E37" s="238"/>
      <c r="F37" s="238"/>
      <c r="G37" s="238"/>
      <c r="H37" s="238"/>
      <c r="I37" s="317"/>
    </row>
    <row r="38" spans="1:9" x14ac:dyDescent="0.25">
      <c r="A38" s="336" t="s">
        <v>305</v>
      </c>
      <c r="B38" s="237"/>
      <c r="C38" s="238"/>
      <c r="D38" s="242"/>
      <c r="E38" s="238"/>
      <c r="F38" s="238"/>
      <c r="G38" s="238"/>
      <c r="H38" s="238"/>
      <c r="I38" s="317"/>
    </row>
    <row r="39" spans="1:9" x14ac:dyDescent="0.25">
      <c r="A39" s="336" t="s">
        <v>306</v>
      </c>
      <c r="B39" s="237"/>
      <c r="C39" s="238"/>
      <c r="D39" s="242"/>
      <c r="E39" s="238"/>
      <c r="F39" s="238"/>
      <c r="G39" s="238"/>
      <c r="H39" s="238"/>
      <c r="I39" s="317"/>
    </row>
    <row r="40" spans="1:9" x14ac:dyDescent="0.25">
      <c r="A40" s="336" t="s">
        <v>307</v>
      </c>
      <c r="B40" s="237"/>
      <c r="C40" s="238"/>
      <c r="D40" s="242"/>
      <c r="E40" s="238"/>
      <c r="F40" s="238"/>
      <c r="G40" s="238"/>
      <c r="H40" s="238"/>
      <c r="I40" s="317"/>
    </row>
    <row r="41" spans="1:9" x14ac:dyDescent="0.25">
      <c r="A41" s="336" t="s">
        <v>308</v>
      </c>
      <c r="B41" s="237"/>
      <c r="C41" s="238"/>
      <c r="D41" s="242"/>
      <c r="E41" s="238"/>
      <c r="F41" s="238"/>
      <c r="G41" s="238"/>
      <c r="H41" s="238"/>
      <c r="I41" s="317"/>
    </row>
    <row r="42" spans="1:9" x14ac:dyDescent="0.25">
      <c r="A42" s="336" t="s">
        <v>330</v>
      </c>
      <c r="B42" s="237"/>
      <c r="C42" s="238"/>
      <c r="D42" s="242"/>
      <c r="E42" s="238"/>
      <c r="F42" s="238"/>
      <c r="G42" s="238"/>
      <c r="H42" s="238"/>
      <c r="I42" s="317"/>
    </row>
    <row r="43" spans="1:9" x14ac:dyDescent="0.25">
      <c r="A43" s="474" t="s">
        <v>309</v>
      </c>
      <c r="B43" s="475"/>
      <c r="C43" s="475"/>
      <c r="D43" s="475"/>
      <c r="E43" s="475"/>
      <c r="F43" s="475"/>
      <c r="G43" s="475"/>
      <c r="H43" s="475"/>
      <c r="I43" s="476"/>
    </row>
    <row r="44" spans="1:9" x14ac:dyDescent="0.25">
      <c r="A44" s="474"/>
      <c r="B44" s="475"/>
      <c r="C44" s="475"/>
      <c r="D44" s="475"/>
      <c r="E44" s="475"/>
      <c r="F44" s="475"/>
      <c r="G44" s="475"/>
      <c r="H44" s="475"/>
      <c r="I44" s="476"/>
    </row>
    <row r="45" spans="1:9" x14ac:dyDescent="0.25">
      <c r="A45" s="320"/>
      <c r="B45" s="211"/>
      <c r="C45" s="211"/>
      <c r="D45" s="246"/>
      <c r="E45" s="247"/>
      <c r="F45" s="246"/>
      <c r="G45" s="246"/>
      <c r="H45" s="211"/>
      <c r="I45" s="317"/>
    </row>
    <row r="46" spans="1:9" x14ac:dyDescent="0.25">
      <c r="A46" s="330" t="s">
        <v>310</v>
      </c>
      <c r="B46" s="215"/>
      <c r="C46" s="211"/>
      <c r="D46" s="211"/>
      <c r="E46" s="211"/>
      <c r="F46" s="211"/>
      <c r="G46" s="211"/>
      <c r="H46" s="211"/>
      <c r="I46" s="317"/>
    </row>
    <row r="47" spans="1:9" x14ac:dyDescent="0.25">
      <c r="A47" s="335"/>
      <c r="B47" s="468" t="s">
        <v>311</v>
      </c>
      <c r="C47" s="469"/>
      <c r="D47" s="211"/>
      <c r="E47" s="237"/>
      <c r="F47" s="211"/>
      <c r="G47" s="211"/>
      <c r="H47" s="212"/>
      <c r="I47" s="321"/>
    </row>
    <row r="48" spans="1:9" x14ac:dyDescent="0.25">
      <c r="A48" s="337"/>
      <c r="B48" s="227" t="s">
        <v>312</v>
      </c>
      <c r="C48" s="232"/>
      <c r="E48" s="237"/>
      <c r="F48" s="238"/>
      <c r="G48" s="211"/>
      <c r="H48" s="212"/>
      <c r="I48" s="321"/>
    </row>
    <row r="49" spans="1:9" x14ac:dyDescent="0.25">
      <c r="A49" s="338"/>
      <c r="B49" s="238"/>
      <c r="C49" s="211"/>
      <c r="E49" s="237"/>
      <c r="F49" s="238"/>
      <c r="G49" s="211"/>
      <c r="H49" s="212"/>
      <c r="I49" s="321"/>
    </row>
    <row r="50" spans="1:9" x14ac:dyDescent="0.25">
      <c r="A50" s="338"/>
      <c r="B50" s="238"/>
      <c r="C50" s="211"/>
      <c r="E50" s="237"/>
      <c r="F50" s="238"/>
      <c r="G50" s="211"/>
      <c r="H50" s="212"/>
      <c r="I50" s="321"/>
    </row>
    <row r="51" spans="1:9" x14ac:dyDescent="0.25">
      <c r="A51" s="330" t="s">
        <v>313</v>
      </c>
      <c r="B51" s="213"/>
      <c r="C51" s="229"/>
      <c r="D51" s="213"/>
      <c r="E51" s="211"/>
      <c r="F51" s="211"/>
      <c r="G51" s="211"/>
      <c r="H51" s="211"/>
      <c r="I51" s="317"/>
    </row>
    <row r="52" spans="1:9" x14ac:dyDescent="0.25">
      <c r="A52" s="316" t="s">
        <v>314</v>
      </c>
      <c r="B52" s="460" t="s">
        <v>316</v>
      </c>
      <c r="C52" s="460"/>
      <c r="D52" s="460"/>
      <c r="E52" s="211"/>
      <c r="F52" s="212"/>
      <c r="G52" s="211"/>
      <c r="H52" s="211"/>
      <c r="I52" s="317"/>
    </row>
    <row r="53" spans="1:9" x14ac:dyDescent="0.25">
      <c r="A53" s="339"/>
      <c r="B53" s="248"/>
      <c r="C53" s="248"/>
      <c r="D53" s="211"/>
      <c r="E53" s="211"/>
      <c r="F53" s="211"/>
      <c r="G53" s="211"/>
      <c r="H53" s="211"/>
      <c r="I53" s="317"/>
    </row>
    <row r="54" spans="1:9" x14ac:dyDescent="0.25">
      <c r="A54" s="330"/>
      <c r="B54" s="237"/>
      <c r="C54" s="248"/>
      <c r="D54" s="211"/>
      <c r="E54" s="249"/>
      <c r="F54" s="211"/>
      <c r="G54" s="211"/>
      <c r="H54" s="211"/>
      <c r="I54" s="317"/>
    </row>
    <row r="55" spans="1:9" x14ac:dyDescent="0.25">
      <c r="A55" s="340"/>
      <c r="B55" s="229"/>
      <c r="C55" s="341"/>
      <c r="D55" s="213"/>
      <c r="E55" s="213"/>
      <c r="F55" s="213"/>
      <c r="G55" s="213"/>
      <c r="H55" s="213"/>
      <c r="I55" s="230"/>
    </row>
  </sheetData>
  <mergeCells count="42">
    <mergeCell ref="F33:G33"/>
    <mergeCell ref="H33:I33"/>
    <mergeCell ref="F34:G34"/>
    <mergeCell ref="F26:G26"/>
    <mergeCell ref="H26:I26"/>
    <mergeCell ref="H31:I31"/>
    <mergeCell ref="H32:I32"/>
    <mergeCell ref="B52:D52"/>
    <mergeCell ref="H2:I2"/>
    <mergeCell ref="F2:G2"/>
    <mergeCell ref="F27:G27"/>
    <mergeCell ref="H27:I27"/>
    <mergeCell ref="H34:I34"/>
    <mergeCell ref="F29:G29"/>
    <mergeCell ref="H29:I29"/>
    <mergeCell ref="F30:G30"/>
    <mergeCell ref="F31:G31"/>
    <mergeCell ref="B47:C47"/>
    <mergeCell ref="D33:E33"/>
    <mergeCell ref="A35:I35"/>
    <mergeCell ref="A43:I44"/>
    <mergeCell ref="F32:G32"/>
    <mergeCell ref="H30:I30"/>
    <mergeCell ref="I10:I11"/>
    <mergeCell ref="B11:C11"/>
    <mergeCell ref="A1:I1"/>
    <mergeCell ref="B2:C2"/>
    <mergeCell ref="B3:C3"/>
    <mergeCell ref="E3:I3"/>
    <mergeCell ref="B6:D6"/>
    <mergeCell ref="B7:C7"/>
    <mergeCell ref="B10:D10"/>
    <mergeCell ref="E10:E11"/>
    <mergeCell ref="F10:F11"/>
    <mergeCell ref="G10:G11"/>
    <mergeCell ref="H10:H11"/>
    <mergeCell ref="B4:D4"/>
    <mergeCell ref="E12:E13"/>
    <mergeCell ref="F12:F13"/>
    <mergeCell ref="G12:G13"/>
    <mergeCell ref="H12:H13"/>
    <mergeCell ref="I12:I13"/>
  </mergeCells>
  <pageMargins left="0.7" right="0.2" top="0.5" bottom="0.25" header="0.3" footer="0.3"/>
  <pageSetup scale="76"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8" r:id="rId4" name="Check Box 2">
              <controlPr defaultSize="0" autoFill="0" autoLine="0" autoPict="0">
                <anchor moveWithCells="1">
                  <from>
                    <xdr:col>1</xdr:col>
                    <xdr:colOff>257175</xdr:colOff>
                    <xdr:row>16</xdr:row>
                    <xdr:rowOff>9525</xdr:rowOff>
                  </from>
                  <to>
                    <xdr:col>1</xdr:col>
                    <xdr:colOff>590550</xdr:colOff>
                    <xdr:row>16</xdr:row>
                    <xdr:rowOff>171450</xdr:rowOff>
                  </to>
                </anchor>
              </controlPr>
            </control>
          </mc:Choice>
        </mc:AlternateContent>
        <mc:AlternateContent xmlns:mc="http://schemas.openxmlformats.org/markup-compatibility/2006">
          <mc:Choice Requires="x14">
            <control shapeId="4099" r:id="rId5" name="Check Box 3">
              <controlPr defaultSize="0" autoFill="0" autoLine="0" autoPict="0">
                <anchor moveWithCells="1">
                  <from>
                    <xdr:col>1</xdr:col>
                    <xdr:colOff>257175</xdr:colOff>
                    <xdr:row>17</xdr:row>
                    <xdr:rowOff>9525</xdr:rowOff>
                  </from>
                  <to>
                    <xdr:col>1</xdr:col>
                    <xdr:colOff>590550</xdr:colOff>
                    <xdr:row>17</xdr:row>
                    <xdr:rowOff>171450</xdr:rowOff>
                  </to>
                </anchor>
              </controlPr>
            </control>
          </mc:Choice>
        </mc:AlternateContent>
        <mc:AlternateContent xmlns:mc="http://schemas.openxmlformats.org/markup-compatibility/2006">
          <mc:Choice Requires="x14">
            <control shapeId="4100" r:id="rId6" name="Check Box 4">
              <controlPr defaultSize="0" autoFill="0" autoLine="0" autoPict="0">
                <anchor moveWithCells="1">
                  <from>
                    <xdr:col>1</xdr:col>
                    <xdr:colOff>257175</xdr:colOff>
                    <xdr:row>18</xdr:row>
                    <xdr:rowOff>9525</xdr:rowOff>
                  </from>
                  <to>
                    <xdr:col>1</xdr:col>
                    <xdr:colOff>590550</xdr:colOff>
                    <xdr:row>18</xdr:row>
                    <xdr:rowOff>171450</xdr:rowOff>
                  </to>
                </anchor>
              </controlPr>
            </control>
          </mc:Choice>
        </mc:AlternateContent>
        <mc:AlternateContent xmlns:mc="http://schemas.openxmlformats.org/markup-compatibility/2006">
          <mc:Choice Requires="x14">
            <control shapeId="4101" r:id="rId7" name="Check Box 5">
              <controlPr defaultSize="0" autoFill="0" autoLine="0" autoPict="0">
                <anchor moveWithCells="1">
                  <from>
                    <xdr:col>1</xdr:col>
                    <xdr:colOff>257175</xdr:colOff>
                    <xdr:row>19</xdr:row>
                    <xdr:rowOff>9525</xdr:rowOff>
                  </from>
                  <to>
                    <xdr:col>1</xdr:col>
                    <xdr:colOff>590550</xdr:colOff>
                    <xdr:row>19</xdr:row>
                    <xdr:rowOff>171450</xdr:rowOff>
                  </to>
                </anchor>
              </controlPr>
            </control>
          </mc:Choice>
        </mc:AlternateContent>
        <mc:AlternateContent xmlns:mc="http://schemas.openxmlformats.org/markup-compatibility/2006">
          <mc:Choice Requires="x14">
            <control shapeId="4102" r:id="rId8" name="Check Box 6">
              <controlPr defaultSize="0" autoFill="0" autoLine="0" autoPict="0">
                <anchor moveWithCells="1">
                  <from>
                    <xdr:col>1</xdr:col>
                    <xdr:colOff>257175</xdr:colOff>
                    <xdr:row>20</xdr:row>
                    <xdr:rowOff>9525</xdr:rowOff>
                  </from>
                  <to>
                    <xdr:col>1</xdr:col>
                    <xdr:colOff>590550</xdr:colOff>
                    <xdr:row>20</xdr:row>
                    <xdr:rowOff>171450</xdr:rowOff>
                  </to>
                </anchor>
              </controlPr>
            </control>
          </mc:Choice>
        </mc:AlternateContent>
        <mc:AlternateContent xmlns:mc="http://schemas.openxmlformats.org/markup-compatibility/2006">
          <mc:Choice Requires="x14">
            <control shapeId="4103" r:id="rId9" name="Check Box 7">
              <controlPr defaultSize="0" autoFill="0" autoLine="0" autoPict="0">
                <anchor moveWithCells="1">
                  <from>
                    <xdr:col>1</xdr:col>
                    <xdr:colOff>257175</xdr:colOff>
                    <xdr:row>21</xdr:row>
                    <xdr:rowOff>9525</xdr:rowOff>
                  </from>
                  <to>
                    <xdr:col>1</xdr:col>
                    <xdr:colOff>590550</xdr:colOff>
                    <xdr:row>21</xdr:row>
                    <xdr:rowOff>171450</xdr:rowOff>
                  </to>
                </anchor>
              </controlPr>
            </control>
          </mc:Choice>
        </mc:AlternateContent>
        <mc:AlternateContent xmlns:mc="http://schemas.openxmlformats.org/markup-compatibility/2006">
          <mc:Choice Requires="x14">
            <control shapeId="4104" r:id="rId10" name="Check Box 8">
              <controlPr defaultSize="0" autoFill="0" autoLine="0" autoPict="0">
                <anchor moveWithCells="1">
                  <from>
                    <xdr:col>1</xdr:col>
                    <xdr:colOff>257175</xdr:colOff>
                    <xdr:row>22</xdr:row>
                    <xdr:rowOff>9525</xdr:rowOff>
                  </from>
                  <to>
                    <xdr:col>1</xdr:col>
                    <xdr:colOff>590550</xdr:colOff>
                    <xdr:row>22</xdr:row>
                    <xdr:rowOff>171450</xdr:rowOff>
                  </to>
                </anchor>
              </controlPr>
            </control>
          </mc:Choice>
        </mc:AlternateContent>
        <mc:AlternateContent xmlns:mc="http://schemas.openxmlformats.org/markup-compatibility/2006">
          <mc:Choice Requires="x14">
            <control shapeId="4105" r:id="rId11" name="Check Box 9">
              <controlPr defaultSize="0" autoFill="0" autoLine="0" autoPict="0">
                <anchor moveWithCells="1">
                  <from>
                    <xdr:col>1</xdr:col>
                    <xdr:colOff>257175</xdr:colOff>
                    <xdr:row>23</xdr:row>
                    <xdr:rowOff>9525</xdr:rowOff>
                  </from>
                  <to>
                    <xdr:col>1</xdr:col>
                    <xdr:colOff>590550</xdr:colOff>
                    <xdr:row>23</xdr:row>
                    <xdr:rowOff>171450</xdr:rowOff>
                  </to>
                </anchor>
              </controlPr>
            </control>
          </mc:Choice>
        </mc:AlternateContent>
        <mc:AlternateContent xmlns:mc="http://schemas.openxmlformats.org/markup-compatibility/2006">
          <mc:Choice Requires="x14">
            <control shapeId="4106" r:id="rId12" name="Check Box 10">
              <controlPr defaultSize="0" autoFill="0" autoLine="0" autoPict="0">
                <anchor moveWithCells="1">
                  <from>
                    <xdr:col>3</xdr:col>
                    <xdr:colOff>257175</xdr:colOff>
                    <xdr:row>16</xdr:row>
                    <xdr:rowOff>9525</xdr:rowOff>
                  </from>
                  <to>
                    <xdr:col>3</xdr:col>
                    <xdr:colOff>590550</xdr:colOff>
                    <xdr:row>16</xdr:row>
                    <xdr:rowOff>171450</xdr:rowOff>
                  </to>
                </anchor>
              </controlPr>
            </control>
          </mc:Choice>
        </mc:AlternateContent>
        <mc:AlternateContent xmlns:mc="http://schemas.openxmlformats.org/markup-compatibility/2006">
          <mc:Choice Requires="x14">
            <control shapeId="4107" r:id="rId13" name="Check Box 11">
              <controlPr defaultSize="0" autoFill="0" autoLine="0" autoPict="0">
                <anchor moveWithCells="1">
                  <from>
                    <xdr:col>3</xdr:col>
                    <xdr:colOff>257175</xdr:colOff>
                    <xdr:row>17</xdr:row>
                    <xdr:rowOff>9525</xdr:rowOff>
                  </from>
                  <to>
                    <xdr:col>3</xdr:col>
                    <xdr:colOff>590550</xdr:colOff>
                    <xdr:row>17</xdr:row>
                    <xdr:rowOff>171450</xdr:rowOff>
                  </to>
                </anchor>
              </controlPr>
            </control>
          </mc:Choice>
        </mc:AlternateContent>
        <mc:AlternateContent xmlns:mc="http://schemas.openxmlformats.org/markup-compatibility/2006">
          <mc:Choice Requires="x14">
            <control shapeId="4108" r:id="rId14" name="Check Box 12">
              <controlPr defaultSize="0" autoFill="0" autoLine="0" autoPict="0">
                <anchor moveWithCells="1">
                  <from>
                    <xdr:col>3</xdr:col>
                    <xdr:colOff>257175</xdr:colOff>
                    <xdr:row>18</xdr:row>
                    <xdr:rowOff>9525</xdr:rowOff>
                  </from>
                  <to>
                    <xdr:col>3</xdr:col>
                    <xdr:colOff>590550</xdr:colOff>
                    <xdr:row>18</xdr:row>
                    <xdr:rowOff>171450</xdr:rowOff>
                  </to>
                </anchor>
              </controlPr>
            </control>
          </mc:Choice>
        </mc:AlternateContent>
        <mc:AlternateContent xmlns:mc="http://schemas.openxmlformats.org/markup-compatibility/2006">
          <mc:Choice Requires="x14">
            <control shapeId="4109" r:id="rId15" name="Check Box 13">
              <controlPr defaultSize="0" autoFill="0" autoLine="0" autoPict="0">
                <anchor moveWithCells="1">
                  <from>
                    <xdr:col>3</xdr:col>
                    <xdr:colOff>257175</xdr:colOff>
                    <xdr:row>19</xdr:row>
                    <xdr:rowOff>9525</xdr:rowOff>
                  </from>
                  <to>
                    <xdr:col>3</xdr:col>
                    <xdr:colOff>590550</xdr:colOff>
                    <xdr:row>19</xdr:row>
                    <xdr:rowOff>171450</xdr:rowOff>
                  </to>
                </anchor>
              </controlPr>
            </control>
          </mc:Choice>
        </mc:AlternateContent>
        <mc:AlternateContent xmlns:mc="http://schemas.openxmlformats.org/markup-compatibility/2006">
          <mc:Choice Requires="x14">
            <control shapeId="4110" r:id="rId16" name="Check Box 14">
              <controlPr defaultSize="0" autoFill="0" autoLine="0" autoPict="0">
                <anchor moveWithCells="1">
                  <from>
                    <xdr:col>3</xdr:col>
                    <xdr:colOff>257175</xdr:colOff>
                    <xdr:row>20</xdr:row>
                    <xdr:rowOff>9525</xdr:rowOff>
                  </from>
                  <to>
                    <xdr:col>3</xdr:col>
                    <xdr:colOff>590550</xdr:colOff>
                    <xdr:row>20</xdr:row>
                    <xdr:rowOff>171450</xdr:rowOff>
                  </to>
                </anchor>
              </controlPr>
            </control>
          </mc:Choice>
        </mc:AlternateContent>
        <mc:AlternateContent xmlns:mc="http://schemas.openxmlformats.org/markup-compatibility/2006">
          <mc:Choice Requires="x14">
            <control shapeId="4111" r:id="rId17" name="Check Box 15">
              <controlPr defaultSize="0" autoFill="0" autoLine="0" autoPict="0">
                <anchor moveWithCells="1">
                  <from>
                    <xdr:col>3</xdr:col>
                    <xdr:colOff>257175</xdr:colOff>
                    <xdr:row>21</xdr:row>
                    <xdr:rowOff>9525</xdr:rowOff>
                  </from>
                  <to>
                    <xdr:col>3</xdr:col>
                    <xdr:colOff>590550</xdr:colOff>
                    <xdr:row>21</xdr:row>
                    <xdr:rowOff>171450</xdr:rowOff>
                  </to>
                </anchor>
              </controlPr>
            </control>
          </mc:Choice>
        </mc:AlternateContent>
        <mc:AlternateContent xmlns:mc="http://schemas.openxmlformats.org/markup-compatibility/2006">
          <mc:Choice Requires="x14">
            <control shapeId="4112" r:id="rId18" name="Check Box 16">
              <controlPr defaultSize="0" autoFill="0" autoLine="0" autoPict="0">
                <anchor moveWithCells="1">
                  <from>
                    <xdr:col>3</xdr:col>
                    <xdr:colOff>257175</xdr:colOff>
                    <xdr:row>22</xdr:row>
                    <xdr:rowOff>9525</xdr:rowOff>
                  </from>
                  <to>
                    <xdr:col>3</xdr:col>
                    <xdr:colOff>590550</xdr:colOff>
                    <xdr:row>22</xdr:row>
                    <xdr:rowOff>171450</xdr:rowOff>
                  </to>
                </anchor>
              </controlPr>
            </control>
          </mc:Choice>
        </mc:AlternateContent>
        <mc:AlternateContent xmlns:mc="http://schemas.openxmlformats.org/markup-compatibility/2006">
          <mc:Choice Requires="x14">
            <control shapeId="4113" r:id="rId19" name="Check Box 17">
              <controlPr defaultSize="0" autoFill="0" autoLine="0" autoPict="0">
                <anchor moveWithCells="1">
                  <from>
                    <xdr:col>1</xdr:col>
                    <xdr:colOff>257175</xdr:colOff>
                    <xdr:row>13</xdr:row>
                    <xdr:rowOff>9525</xdr:rowOff>
                  </from>
                  <to>
                    <xdr:col>1</xdr:col>
                    <xdr:colOff>590550</xdr:colOff>
                    <xdr:row>13</xdr:row>
                    <xdr:rowOff>171450</xdr:rowOff>
                  </to>
                </anchor>
              </controlPr>
            </control>
          </mc:Choice>
        </mc:AlternateContent>
        <mc:AlternateContent xmlns:mc="http://schemas.openxmlformats.org/markup-compatibility/2006">
          <mc:Choice Requires="x14">
            <control shapeId="4114" r:id="rId20" name="Check Box 18">
              <controlPr defaultSize="0" autoFill="0" autoLine="0" autoPict="0">
                <anchor moveWithCells="1">
                  <from>
                    <xdr:col>1</xdr:col>
                    <xdr:colOff>257175</xdr:colOff>
                    <xdr:row>14</xdr:row>
                    <xdr:rowOff>9525</xdr:rowOff>
                  </from>
                  <to>
                    <xdr:col>1</xdr:col>
                    <xdr:colOff>590550</xdr:colOff>
                    <xdr:row>14</xdr:row>
                    <xdr:rowOff>171450</xdr:rowOff>
                  </to>
                </anchor>
              </controlPr>
            </control>
          </mc:Choice>
        </mc:AlternateContent>
        <mc:AlternateContent xmlns:mc="http://schemas.openxmlformats.org/markup-compatibility/2006">
          <mc:Choice Requires="x14">
            <control shapeId="4115" r:id="rId21" name="Check Box 19">
              <controlPr defaultSize="0" autoFill="0" autoLine="0" autoPict="0">
                <anchor moveWithCells="1">
                  <from>
                    <xdr:col>4</xdr:col>
                    <xdr:colOff>257175</xdr:colOff>
                    <xdr:row>13</xdr:row>
                    <xdr:rowOff>9525</xdr:rowOff>
                  </from>
                  <to>
                    <xdr:col>4</xdr:col>
                    <xdr:colOff>590550</xdr:colOff>
                    <xdr:row>13</xdr:row>
                    <xdr:rowOff>171450</xdr:rowOff>
                  </to>
                </anchor>
              </controlPr>
            </control>
          </mc:Choice>
        </mc:AlternateContent>
        <mc:AlternateContent xmlns:mc="http://schemas.openxmlformats.org/markup-compatibility/2006">
          <mc:Choice Requires="x14">
            <control shapeId="4116" r:id="rId22" name="Check Box 20">
              <controlPr defaultSize="0" autoFill="0" autoLine="0" autoPict="0">
                <anchor moveWithCells="1">
                  <from>
                    <xdr:col>4</xdr:col>
                    <xdr:colOff>257175</xdr:colOff>
                    <xdr:row>14</xdr:row>
                    <xdr:rowOff>9525</xdr:rowOff>
                  </from>
                  <to>
                    <xdr:col>4</xdr:col>
                    <xdr:colOff>590550</xdr:colOff>
                    <xdr:row>14</xdr:row>
                    <xdr:rowOff>171450</xdr:rowOff>
                  </to>
                </anchor>
              </controlPr>
            </control>
          </mc:Choice>
        </mc:AlternateContent>
        <mc:AlternateContent xmlns:mc="http://schemas.openxmlformats.org/markup-compatibility/2006">
          <mc:Choice Requires="x14">
            <control shapeId="4118" r:id="rId23" name="Check Box 22">
              <controlPr defaultSize="0" autoFill="0" autoLine="0" autoPict="0">
                <anchor moveWithCells="1">
                  <from>
                    <xdr:col>6</xdr:col>
                    <xdr:colOff>257175</xdr:colOff>
                    <xdr:row>13</xdr:row>
                    <xdr:rowOff>9525</xdr:rowOff>
                  </from>
                  <to>
                    <xdr:col>6</xdr:col>
                    <xdr:colOff>590550</xdr:colOff>
                    <xdr:row>13</xdr:row>
                    <xdr:rowOff>171450</xdr:rowOff>
                  </to>
                </anchor>
              </controlPr>
            </control>
          </mc:Choice>
        </mc:AlternateContent>
        <mc:AlternateContent xmlns:mc="http://schemas.openxmlformats.org/markup-compatibility/2006">
          <mc:Choice Requires="x14">
            <control shapeId="4119" r:id="rId24" name="Check Box 23">
              <controlPr defaultSize="0" autoFill="0" autoLine="0" autoPict="0">
                <anchor moveWithCells="1">
                  <from>
                    <xdr:col>6</xdr:col>
                    <xdr:colOff>257175</xdr:colOff>
                    <xdr:row>20</xdr:row>
                    <xdr:rowOff>9525</xdr:rowOff>
                  </from>
                  <to>
                    <xdr:col>6</xdr:col>
                    <xdr:colOff>590550</xdr:colOff>
                    <xdr:row>20</xdr:row>
                    <xdr:rowOff>171450</xdr:rowOff>
                  </to>
                </anchor>
              </controlPr>
            </control>
          </mc:Choice>
        </mc:AlternateContent>
        <mc:AlternateContent xmlns:mc="http://schemas.openxmlformats.org/markup-compatibility/2006">
          <mc:Choice Requires="x14">
            <control shapeId="4121" r:id="rId25" name="Check Box 25">
              <controlPr defaultSize="0" autoFill="0" autoLine="0" autoPict="0">
                <anchor moveWithCells="1">
                  <from>
                    <xdr:col>5</xdr:col>
                    <xdr:colOff>257175</xdr:colOff>
                    <xdr:row>19</xdr:row>
                    <xdr:rowOff>9525</xdr:rowOff>
                  </from>
                  <to>
                    <xdr:col>5</xdr:col>
                    <xdr:colOff>590550</xdr:colOff>
                    <xdr:row>19</xdr:row>
                    <xdr:rowOff>171450</xdr:rowOff>
                  </to>
                </anchor>
              </controlPr>
            </control>
          </mc:Choice>
        </mc:AlternateContent>
        <mc:AlternateContent xmlns:mc="http://schemas.openxmlformats.org/markup-compatibility/2006">
          <mc:Choice Requires="x14">
            <control shapeId="4122" r:id="rId26" name="Check Box 26">
              <controlPr defaultSize="0" autoFill="0" autoLine="0" autoPict="0">
                <anchor moveWithCells="1">
                  <from>
                    <xdr:col>5</xdr:col>
                    <xdr:colOff>257175</xdr:colOff>
                    <xdr:row>21</xdr:row>
                    <xdr:rowOff>9525</xdr:rowOff>
                  </from>
                  <to>
                    <xdr:col>5</xdr:col>
                    <xdr:colOff>590550</xdr:colOff>
                    <xdr:row>21</xdr:row>
                    <xdr:rowOff>171450</xdr:rowOff>
                  </to>
                </anchor>
              </controlPr>
            </control>
          </mc:Choice>
        </mc:AlternateContent>
        <mc:AlternateContent xmlns:mc="http://schemas.openxmlformats.org/markup-compatibility/2006">
          <mc:Choice Requires="x14">
            <control shapeId="4123" r:id="rId27" name="Check Box 27">
              <controlPr defaultSize="0" autoFill="0" autoLine="0" autoPict="0">
                <anchor moveWithCells="1">
                  <from>
                    <xdr:col>7</xdr:col>
                    <xdr:colOff>257175</xdr:colOff>
                    <xdr:row>19</xdr:row>
                    <xdr:rowOff>9525</xdr:rowOff>
                  </from>
                  <to>
                    <xdr:col>7</xdr:col>
                    <xdr:colOff>590550</xdr:colOff>
                    <xdr:row>19</xdr:row>
                    <xdr:rowOff>171450</xdr:rowOff>
                  </to>
                </anchor>
              </controlPr>
            </control>
          </mc:Choice>
        </mc:AlternateContent>
        <mc:AlternateContent xmlns:mc="http://schemas.openxmlformats.org/markup-compatibility/2006">
          <mc:Choice Requires="x14">
            <control shapeId="4124" r:id="rId28" name="Check Box 28">
              <controlPr defaultSize="0" autoFill="0" autoLine="0" autoPict="0">
                <anchor moveWithCells="1">
                  <from>
                    <xdr:col>0</xdr:col>
                    <xdr:colOff>257175</xdr:colOff>
                    <xdr:row>46</xdr:row>
                    <xdr:rowOff>9525</xdr:rowOff>
                  </from>
                  <to>
                    <xdr:col>0</xdr:col>
                    <xdr:colOff>590550</xdr:colOff>
                    <xdr:row>46</xdr:row>
                    <xdr:rowOff>171450</xdr:rowOff>
                  </to>
                </anchor>
              </controlPr>
            </control>
          </mc:Choice>
        </mc:AlternateContent>
        <mc:AlternateContent xmlns:mc="http://schemas.openxmlformats.org/markup-compatibility/2006">
          <mc:Choice Requires="x14">
            <control shapeId="4125" r:id="rId29" name="Check Box 29">
              <controlPr defaultSize="0" autoFill="0" autoLine="0" autoPict="0">
                <anchor moveWithCells="1">
                  <from>
                    <xdr:col>0</xdr:col>
                    <xdr:colOff>257175</xdr:colOff>
                    <xdr:row>47</xdr:row>
                    <xdr:rowOff>9525</xdr:rowOff>
                  </from>
                  <to>
                    <xdr:col>0</xdr:col>
                    <xdr:colOff>590550</xdr:colOff>
                    <xdr:row>47</xdr:row>
                    <xdr:rowOff>171450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R38"/>
  <sheetViews>
    <sheetView view="pageBreakPreview" zoomScaleSheetLayoutView="100" workbookViewId="0">
      <selection activeCell="M2" sqref="M2:O2"/>
    </sheetView>
  </sheetViews>
  <sheetFormatPr defaultRowHeight="15" x14ac:dyDescent="0.25"/>
  <cols>
    <col min="1" max="1" width="5.7109375" customWidth="1"/>
    <col min="2" max="2" width="4.7109375" customWidth="1"/>
    <col min="3" max="3" width="10.140625" customWidth="1"/>
    <col min="4" max="4" width="5" customWidth="1"/>
    <col min="5" max="5" width="1" customWidth="1"/>
    <col min="6" max="6" width="4.85546875" customWidth="1"/>
    <col min="7" max="7" width="6" customWidth="1"/>
    <col min="8" max="8" width="6.85546875" customWidth="1"/>
    <col min="9" max="9" width="11.5703125" customWidth="1"/>
    <col min="10" max="10" width="4.42578125" customWidth="1"/>
    <col min="11" max="11" width="1.5703125" customWidth="1"/>
    <col min="12" max="12" width="11.85546875" customWidth="1"/>
    <col min="13" max="13" width="11" customWidth="1"/>
    <col min="14" max="14" width="8.28515625" customWidth="1"/>
    <col min="15" max="15" width="20.140625" customWidth="1"/>
  </cols>
  <sheetData>
    <row r="1" spans="1:16" ht="27.75" customHeight="1" x14ac:dyDescent="0.3">
      <c r="A1" s="309" t="s">
        <v>324</v>
      </c>
      <c r="B1" s="310"/>
      <c r="C1" s="292"/>
      <c r="D1" s="292"/>
      <c r="E1" s="292"/>
      <c r="F1" s="292"/>
      <c r="G1" s="292"/>
      <c r="H1" s="292"/>
      <c r="I1" s="292"/>
      <c r="J1" s="292"/>
      <c r="K1" s="292"/>
      <c r="L1" s="292"/>
      <c r="M1" s="292"/>
      <c r="N1" s="292"/>
      <c r="O1" s="311"/>
    </row>
    <row r="2" spans="1:16" ht="30.6" customHeight="1" x14ac:dyDescent="0.25">
      <c r="A2" s="521" t="str">
        <f>val!A2</f>
        <v>Client's Name</v>
      </c>
      <c r="B2" s="522"/>
      <c r="C2" s="522"/>
      <c r="D2" s="12"/>
      <c r="E2" s="12"/>
      <c r="F2" s="12"/>
      <c r="G2" s="12"/>
      <c r="H2" s="12" t="s">
        <v>11</v>
      </c>
      <c r="I2" s="438" t="s">
        <v>439</v>
      </c>
      <c r="J2" s="528"/>
      <c r="K2" s="528"/>
      <c r="L2" s="528"/>
      <c r="M2" s="535" t="s">
        <v>14</v>
      </c>
      <c r="N2" s="535"/>
      <c r="O2" s="411">
        <v>44956</v>
      </c>
    </row>
    <row r="3" spans="1:16" ht="20.100000000000001" customHeight="1" x14ac:dyDescent="0.25">
      <c r="A3" s="533" t="s">
        <v>189</v>
      </c>
      <c r="B3" s="426"/>
      <c r="C3" s="426"/>
      <c r="D3" s="426"/>
      <c r="E3" s="426"/>
      <c r="F3" s="426"/>
      <c r="G3" s="426"/>
      <c r="H3" t="s">
        <v>11</v>
      </c>
      <c r="I3" t="str">
        <f>'In Put'!B14</f>
        <v>Land &amp; Building</v>
      </c>
      <c r="O3" s="267"/>
    </row>
    <row r="4" spans="1:16" ht="20.100000000000001" customHeight="1" x14ac:dyDescent="0.25">
      <c r="A4" s="266" t="s">
        <v>13</v>
      </c>
      <c r="H4" t="s">
        <v>11</v>
      </c>
      <c r="I4" s="418">
        <f>'In Put'!B43</f>
        <v>791</v>
      </c>
      <c r="J4" s="418"/>
      <c r="K4" s="418"/>
      <c r="L4" s="418"/>
      <c r="O4" s="267"/>
    </row>
    <row r="5" spans="1:16" ht="22.15" customHeight="1" x14ac:dyDescent="0.25">
      <c r="A5" s="268" t="s">
        <v>10</v>
      </c>
      <c r="B5" s="12"/>
      <c r="C5" s="12"/>
      <c r="D5" s="12"/>
      <c r="E5" s="12"/>
      <c r="F5" s="12"/>
      <c r="G5" s="12"/>
      <c r="H5" s="12" t="s">
        <v>11</v>
      </c>
      <c r="I5" s="432" t="str">
        <f>'In Put'!B42</f>
        <v>Tarkeshwor Municipality-01(Sabik Sangla VDC 09'Ka'), Kathmandu District</v>
      </c>
      <c r="J5" s="432"/>
      <c r="K5" s="432"/>
      <c r="L5" s="432"/>
      <c r="M5" s="432"/>
      <c r="N5" s="432"/>
      <c r="O5" s="523"/>
    </row>
    <row r="6" spans="1:16" ht="20.100000000000001" customHeight="1" x14ac:dyDescent="0.25">
      <c r="A6" s="269" t="str">
        <f>val!A6</f>
        <v>Owner's Name</v>
      </c>
      <c r="B6" s="23"/>
      <c r="C6" s="23"/>
      <c r="D6" s="23"/>
      <c r="E6" s="23"/>
      <c r="F6" s="23"/>
      <c r="G6" s="23"/>
      <c r="H6" s="23" t="s">
        <v>11</v>
      </c>
      <c r="I6" s="23" t="str">
        <f>'In Put'!B29</f>
        <v>Mrs. Lila Khatri</v>
      </c>
      <c r="J6" s="23"/>
      <c r="K6" s="23"/>
      <c r="L6" s="23"/>
      <c r="M6" s="23"/>
      <c r="O6" s="267"/>
    </row>
    <row r="7" spans="1:16" ht="20.100000000000001" customHeight="1" x14ac:dyDescent="0.25">
      <c r="A7" s="294" t="s">
        <v>190</v>
      </c>
      <c r="B7" s="295"/>
      <c r="C7" s="296"/>
      <c r="D7" s="296"/>
      <c r="E7" s="296"/>
      <c r="F7" s="296"/>
      <c r="G7" s="296"/>
      <c r="H7" s="296"/>
      <c r="I7" s="296"/>
      <c r="J7" s="297"/>
      <c r="K7" s="294"/>
      <c r="L7" s="303"/>
      <c r="M7" s="303"/>
      <c r="N7" s="303"/>
      <c r="O7" s="304"/>
    </row>
    <row r="8" spans="1:16" ht="20.100000000000001" customHeight="1" x14ac:dyDescent="0.25">
      <c r="A8" s="199"/>
      <c r="B8" s="200"/>
      <c r="C8" s="200"/>
      <c r="D8" s="422" t="s">
        <v>193</v>
      </c>
      <c r="E8" s="422"/>
      <c r="F8" s="121" t="s">
        <v>132</v>
      </c>
      <c r="G8" s="121" t="s">
        <v>194</v>
      </c>
      <c r="H8" s="121" t="s">
        <v>182</v>
      </c>
      <c r="I8" s="121" t="s">
        <v>191</v>
      </c>
      <c r="J8" s="270"/>
      <c r="K8" s="305"/>
      <c r="L8" s="104"/>
      <c r="M8" s="104"/>
      <c r="N8" s="104"/>
      <c r="O8" s="306"/>
    </row>
    <row r="9" spans="1:16" ht="20.100000000000001" customHeight="1" x14ac:dyDescent="0.25">
      <c r="A9" s="514" t="s">
        <v>44</v>
      </c>
      <c r="B9" s="514"/>
      <c r="C9" s="514"/>
      <c r="D9" s="534">
        <f>Area!E25</f>
        <v>0</v>
      </c>
      <c r="E9" s="514"/>
      <c r="F9" s="124">
        <f>Area!F25</f>
        <v>2.9994999999999998</v>
      </c>
      <c r="G9" s="124">
        <v>0</v>
      </c>
      <c r="H9" s="125">
        <v>0</v>
      </c>
      <c r="I9" s="125">
        <f>D9*508.737+F9*31.7961+G9*7.949+H9*1.9873</f>
        <v>95.372401949999997</v>
      </c>
      <c r="J9" s="270"/>
      <c r="K9" s="305"/>
      <c r="L9" s="2"/>
      <c r="N9" s="262"/>
      <c r="O9" s="306"/>
      <c r="P9" s="2"/>
    </row>
    <row r="10" spans="1:16" ht="20.100000000000001" customHeight="1" x14ac:dyDescent="0.25">
      <c r="A10" s="514" t="s">
        <v>192</v>
      </c>
      <c r="B10" s="514"/>
      <c r="C10" s="514"/>
      <c r="D10" s="514">
        <v>0</v>
      </c>
      <c r="E10" s="514"/>
      <c r="F10" s="120">
        <v>2</v>
      </c>
      <c r="G10" s="120">
        <v>3</v>
      </c>
      <c r="H10" s="125">
        <v>3.2</v>
      </c>
      <c r="I10" s="125">
        <f t="shared" ref="I10:I11" si="0">D10*508.737+F10*31.7961+G10*7.949+H10*1.9873</f>
        <v>93.798559999999995</v>
      </c>
      <c r="J10" s="270"/>
      <c r="K10" s="305"/>
      <c r="L10" s="2"/>
      <c r="N10" s="263"/>
      <c r="O10" s="306"/>
      <c r="P10" s="2"/>
    </row>
    <row r="11" spans="1:16" ht="20.100000000000001" customHeight="1" x14ac:dyDescent="0.25">
      <c r="A11" s="514" t="s">
        <v>195</v>
      </c>
      <c r="B11" s="514"/>
      <c r="C11" s="514"/>
      <c r="D11" s="514">
        <v>0</v>
      </c>
      <c r="E11" s="514"/>
      <c r="F11" s="120">
        <v>2</v>
      </c>
      <c r="G11" s="120">
        <v>3</v>
      </c>
      <c r="H11" s="125">
        <v>3.2</v>
      </c>
      <c r="I11" s="125">
        <f t="shared" si="0"/>
        <v>93.798559999999995</v>
      </c>
      <c r="J11" s="270"/>
      <c r="K11" s="305"/>
      <c r="L11" s="2"/>
      <c r="N11" s="262"/>
      <c r="O11" s="306"/>
      <c r="P11" s="2"/>
    </row>
    <row r="12" spans="1:16" ht="20.100000000000001" customHeight="1" x14ac:dyDescent="0.25">
      <c r="A12" s="298"/>
      <c r="B12" s="299"/>
      <c r="C12" s="299"/>
      <c r="D12" s="300"/>
      <c r="E12" s="300"/>
      <c r="F12" s="301"/>
      <c r="G12" s="301"/>
      <c r="H12" s="301"/>
      <c r="I12" s="301"/>
      <c r="J12" s="302"/>
      <c r="K12" s="307"/>
      <c r="L12" s="187"/>
      <c r="M12" s="189"/>
      <c r="N12" s="189"/>
      <c r="O12" s="308"/>
      <c r="P12" s="2"/>
    </row>
    <row r="13" spans="1:16" x14ac:dyDescent="0.25">
      <c r="A13" s="312"/>
      <c r="B13" s="99"/>
      <c r="C13" s="99"/>
      <c r="D13" s="99"/>
      <c r="E13" s="99"/>
      <c r="F13" s="23"/>
      <c r="G13" s="23"/>
      <c r="H13" s="23"/>
      <c r="I13" s="23"/>
      <c r="J13" s="23"/>
      <c r="K13" s="23"/>
      <c r="L13" s="2"/>
      <c r="O13" s="293"/>
      <c r="P13" s="2"/>
    </row>
    <row r="14" spans="1:16" ht="16.5" customHeight="1" x14ac:dyDescent="0.25">
      <c r="A14" s="269" t="s">
        <v>196</v>
      </c>
      <c r="B14" s="23"/>
      <c r="C14" s="23"/>
      <c r="D14" s="23"/>
      <c r="E14" s="23"/>
      <c r="F14" s="23"/>
      <c r="G14" s="23"/>
      <c r="H14" s="23"/>
      <c r="I14" s="23"/>
      <c r="J14" s="2" t="s">
        <v>198</v>
      </c>
      <c r="K14" s="23"/>
      <c r="O14" s="267"/>
    </row>
    <row r="15" spans="1:16" ht="16.5" customHeight="1" x14ac:dyDescent="0.25">
      <c r="A15" s="515" t="s">
        <v>263</v>
      </c>
      <c r="B15" s="495"/>
      <c r="C15" s="121" t="s">
        <v>49</v>
      </c>
      <c r="D15" s="286" t="s">
        <v>197</v>
      </c>
      <c r="E15" s="289"/>
      <c r="F15" s="287"/>
      <c r="G15" s="515" t="s">
        <v>199</v>
      </c>
      <c r="H15" s="495"/>
      <c r="I15" s="128" t="s">
        <v>52</v>
      </c>
      <c r="J15" s="496" t="s">
        <v>489</v>
      </c>
      <c r="K15" s="497"/>
      <c r="L15" s="497"/>
      <c r="M15" s="497"/>
      <c r="N15" s="497"/>
      <c r="O15" s="498"/>
    </row>
    <row r="16" spans="1:16" ht="70.5" customHeight="1" x14ac:dyDescent="0.25">
      <c r="A16" s="502">
        <f>'In Put'!B43</f>
        <v>791</v>
      </c>
      <c r="B16" s="503"/>
      <c r="C16" s="260" t="s">
        <v>426</v>
      </c>
      <c r="D16" s="504" t="s">
        <v>427</v>
      </c>
      <c r="E16" s="505"/>
      <c r="F16" s="506"/>
      <c r="G16" s="507" t="s">
        <v>428</v>
      </c>
      <c r="H16" s="425"/>
      <c r="I16" s="260" t="s">
        <v>413</v>
      </c>
      <c r="J16" s="499"/>
      <c r="K16" s="500"/>
      <c r="L16" s="500"/>
      <c r="M16" s="500"/>
      <c r="N16" s="500"/>
      <c r="O16" s="501"/>
    </row>
    <row r="17" spans="1:18" ht="16.5" customHeight="1" x14ac:dyDescent="0.25">
      <c r="A17" s="269" t="s">
        <v>202</v>
      </c>
      <c r="B17" s="23"/>
      <c r="C17" s="23"/>
      <c r="D17" s="23"/>
      <c r="E17" s="23"/>
      <c r="F17" s="23"/>
      <c r="G17" s="296"/>
      <c r="H17" s="296"/>
      <c r="I17" s="296"/>
      <c r="J17" s="200"/>
      <c r="K17" s="200"/>
      <c r="L17" s="508"/>
      <c r="M17" s="509"/>
      <c r="N17" s="509"/>
      <c r="O17" s="510"/>
    </row>
    <row r="18" spans="1:18" ht="16.149999999999999" customHeight="1" x14ac:dyDescent="0.25">
      <c r="A18" s="313"/>
      <c r="B18" s="2"/>
      <c r="C18" s="2"/>
      <c r="D18" s="186"/>
      <c r="E18" s="186"/>
      <c r="F18" s="186"/>
      <c r="G18" s="186"/>
      <c r="H18" s="186"/>
      <c r="I18" s="186"/>
      <c r="J18" s="187"/>
      <c r="K18" s="187"/>
      <c r="L18" s="511"/>
      <c r="M18" s="512"/>
      <c r="N18" s="512"/>
      <c r="O18" s="513"/>
    </row>
    <row r="19" spans="1:18" ht="36.6" customHeight="1" x14ac:dyDescent="0.25">
      <c r="A19" s="121" t="s">
        <v>0</v>
      </c>
      <c r="B19" s="516" t="s">
        <v>1</v>
      </c>
      <c r="C19" s="517"/>
      <c r="D19" s="518" t="s">
        <v>200</v>
      </c>
      <c r="E19" s="519"/>
      <c r="F19" s="519"/>
      <c r="G19" s="520"/>
      <c r="H19" s="515" t="s">
        <v>251</v>
      </c>
      <c r="I19" s="495"/>
      <c r="J19" s="494" t="s">
        <v>252</v>
      </c>
      <c r="K19" s="494"/>
      <c r="L19" s="495"/>
      <c r="M19" s="524" t="str">
        <f>val!A45</f>
        <v>On the basis of the details provided by Client and Field verification, At Present Fair Market Value of property is 18,640,000.00 In Words: NRs Eighteen Million  and Six Hundred and Forty  Thousands Only. At Present Distress Value of property is 14,912,000.00 In Words: NRs Fourteen Million Nine Hundred and Twelve Thousands Only.</v>
      </c>
      <c r="N19" s="525"/>
      <c r="O19" s="526"/>
    </row>
    <row r="20" spans="1:18" ht="27.6" customHeight="1" x14ac:dyDescent="0.25">
      <c r="A20" s="113">
        <v>1</v>
      </c>
      <c r="B20" s="493" t="s">
        <v>134</v>
      </c>
      <c r="C20" s="493"/>
      <c r="D20" s="492">
        <f>val!G10</f>
        <v>10325000</v>
      </c>
      <c r="E20" s="492"/>
      <c r="F20" s="492"/>
      <c r="G20" s="492"/>
      <c r="H20" s="492">
        <f>val!G11</f>
        <v>7723100</v>
      </c>
      <c r="I20" s="492"/>
      <c r="J20" s="492">
        <f>val!H41</f>
        <v>6178480</v>
      </c>
      <c r="K20" s="492"/>
      <c r="L20" s="492"/>
      <c r="M20" s="527"/>
      <c r="N20" s="528"/>
      <c r="O20" s="529"/>
      <c r="P20" s="100"/>
      <c r="Q20" s="100"/>
      <c r="R20" s="101"/>
    </row>
    <row r="21" spans="1:18" ht="25.9" customHeight="1" x14ac:dyDescent="0.25">
      <c r="A21" s="113">
        <v>2</v>
      </c>
      <c r="B21" s="113" t="s">
        <v>183</v>
      </c>
      <c r="C21" s="288"/>
      <c r="D21" s="490">
        <f>val!G36</f>
        <v>10917676</v>
      </c>
      <c r="E21" s="490"/>
      <c r="F21" s="490"/>
      <c r="G21" s="490"/>
      <c r="H21" s="486">
        <f>val!G36</f>
        <v>10917676</v>
      </c>
      <c r="I21" s="486"/>
      <c r="J21" s="492">
        <f>val!H42</f>
        <v>8734140.8000000007</v>
      </c>
      <c r="K21" s="492"/>
      <c r="L21" s="492"/>
      <c r="M21" s="527"/>
      <c r="N21" s="528"/>
      <c r="O21" s="529"/>
    </row>
    <row r="22" spans="1:18" ht="25.9" customHeight="1" x14ac:dyDescent="0.25">
      <c r="A22" s="489" t="s">
        <v>201</v>
      </c>
      <c r="B22" s="489"/>
      <c r="C22" s="487"/>
      <c r="D22" s="484">
        <f>SUM(D20:G21)</f>
        <v>21242676</v>
      </c>
      <c r="E22" s="491"/>
      <c r="F22" s="491"/>
      <c r="G22" s="491"/>
      <c r="H22" s="484">
        <f>SUM(H20:I21)</f>
        <v>18640776</v>
      </c>
      <c r="I22" s="485"/>
      <c r="J22" s="491">
        <f>SUM(J20:L21)</f>
        <v>14912620.800000001</v>
      </c>
      <c r="K22" s="491"/>
      <c r="L22" s="485"/>
      <c r="M22" s="527"/>
      <c r="N22" s="528"/>
      <c r="O22" s="529"/>
    </row>
    <row r="23" spans="1:18" ht="20.100000000000001" customHeight="1" x14ac:dyDescent="0.25">
      <c r="A23" s="487" t="s">
        <v>231</v>
      </c>
      <c r="B23" s="488"/>
      <c r="C23" s="488"/>
      <c r="D23" s="484">
        <f>val!F44</f>
        <v>21242000</v>
      </c>
      <c r="E23" s="491"/>
      <c r="F23" s="491"/>
      <c r="G23" s="491"/>
      <c r="H23" s="484">
        <f>val!G44</f>
        <v>18640000</v>
      </c>
      <c r="I23" s="485"/>
      <c r="J23" s="491">
        <f>val!H44</f>
        <v>14912000</v>
      </c>
      <c r="K23" s="491"/>
      <c r="L23" s="485"/>
      <c r="M23" s="530"/>
      <c r="N23" s="531"/>
      <c r="O23" s="532"/>
    </row>
    <row r="24" spans="1:18" ht="20.100000000000001" customHeight="1" x14ac:dyDescent="0.25">
      <c r="A24" s="275" t="s">
        <v>203</v>
      </c>
      <c r="B24" s="12"/>
      <c r="C24" s="12"/>
      <c r="D24" s="12"/>
      <c r="E24" s="12"/>
      <c r="F24" s="12"/>
      <c r="G24" s="12"/>
      <c r="H24" s="12"/>
      <c r="I24" s="106"/>
      <c r="J24" s="107"/>
      <c r="K24" s="261"/>
      <c r="L24" s="261"/>
      <c r="M24" s="261"/>
      <c r="N24" s="261"/>
      <c r="O24" s="314"/>
    </row>
    <row r="25" spans="1:18" ht="20.100000000000001" customHeight="1" x14ac:dyDescent="0.25">
      <c r="A25" s="268"/>
      <c r="B25" s="85"/>
      <c r="C25" s="12"/>
      <c r="D25" s="12"/>
      <c r="E25" s="12"/>
      <c r="F25" s="12"/>
      <c r="G25" s="12"/>
      <c r="H25" s="12"/>
      <c r="I25" s="106"/>
      <c r="J25" s="107"/>
      <c r="K25" s="261"/>
      <c r="L25" s="261"/>
      <c r="M25" s="261"/>
      <c r="N25" s="261"/>
      <c r="O25" s="314"/>
    </row>
    <row r="26" spans="1:18" ht="20.100000000000001" customHeight="1" x14ac:dyDescent="0.25">
      <c r="A26" s="268"/>
      <c r="B26" s="85"/>
      <c r="C26" s="12"/>
      <c r="D26" s="12"/>
      <c r="E26" s="12"/>
      <c r="F26" s="12"/>
      <c r="G26" s="12"/>
      <c r="H26" s="12"/>
      <c r="I26" s="106"/>
      <c r="J26" s="107"/>
      <c r="K26" s="261"/>
      <c r="L26" s="261"/>
      <c r="M26" s="261"/>
      <c r="N26" s="261"/>
      <c r="O26" s="314"/>
    </row>
    <row r="27" spans="1:18" ht="7.5" customHeight="1" thickBot="1" x14ac:dyDescent="0.3">
      <c r="A27" s="268"/>
      <c r="B27" s="85"/>
      <c r="C27" s="12"/>
      <c r="D27" s="12"/>
      <c r="E27" s="12"/>
      <c r="F27" s="12"/>
      <c r="G27" s="12"/>
      <c r="H27" s="12"/>
      <c r="I27" s="106"/>
      <c r="J27" s="107"/>
      <c r="K27" s="261"/>
      <c r="L27" s="261"/>
      <c r="M27" s="261"/>
      <c r="N27" s="261"/>
      <c r="O27" s="314"/>
    </row>
    <row r="28" spans="1:18" ht="20.100000000000001" customHeight="1" thickBot="1" x14ac:dyDescent="0.3">
      <c r="A28" s="275" t="s">
        <v>204</v>
      </c>
      <c r="B28" s="12"/>
      <c r="C28" s="12"/>
      <c r="D28" s="482">
        <v>13</v>
      </c>
      <c r="E28" s="483"/>
      <c r="F28" s="108"/>
      <c r="G28" s="12" t="s">
        <v>210</v>
      </c>
      <c r="H28" s="12"/>
      <c r="I28" s="106"/>
      <c r="J28" s="107"/>
      <c r="K28" s="261"/>
      <c r="L28" s="261"/>
      <c r="M28" s="261"/>
      <c r="N28" s="261"/>
      <c r="O28" s="314"/>
    </row>
    <row r="29" spans="1:18" x14ac:dyDescent="0.25">
      <c r="A29" s="275" t="s">
        <v>178</v>
      </c>
      <c r="B29" s="12"/>
      <c r="C29" s="12"/>
      <c r="D29" s="108"/>
      <c r="E29" s="109"/>
      <c r="F29" s="108"/>
      <c r="G29" s="12"/>
      <c r="H29" s="12"/>
      <c r="I29" s="106"/>
      <c r="J29" s="105"/>
      <c r="K29" s="261"/>
      <c r="L29" s="261"/>
      <c r="M29" s="261"/>
      <c r="N29" s="261"/>
      <c r="O29" s="314"/>
    </row>
    <row r="30" spans="1:18" ht="28.5" customHeight="1" x14ac:dyDescent="0.25">
      <c r="A30" s="481" t="s">
        <v>429</v>
      </c>
      <c r="B30" s="481"/>
      <c r="C30" s="481"/>
      <c r="D30" s="481"/>
      <c r="E30" s="481"/>
      <c r="F30" s="481"/>
      <c r="G30" s="481"/>
      <c r="H30" s="481"/>
      <c r="I30" s="481"/>
      <c r="J30" s="481"/>
      <c r="K30" s="481"/>
      <c r="L30" s="481"/>
      <c r="M30" s="481"/>
      <c r="N30" s="481"/>
      <c r="O30" s="481"/>
    </row>
    <row r="31" spans="1:18" ht="25.9" customHeight="1" x14ac:dyDescent="0.25">
      <c r="A31" s="481" t="s">
        <v>425</v>
      </c>
      <c r="B31" s="481"/>
      <c r="C31" s="481"/>
      <c r="D31" s="481"/>
      <c r="E31" s="481"/>
      <c r="F31" s="481"/>
      <c r="G31" s="481"/>
      <c r="H31" s="481"/>
      <c r="I31" s="481"/>
      <c r="J31" s="481"/>
      <c r="K31" s="481"/>
      <c r="L31" s="481"/>
      <c r="M31" s="481"/>
      <c r="N31" s="481"/>
      <c r="O31" s="481"/>
    </row>
    <row r="32" spans="1:18" ht="31.15" customHeight="1" x14ac:dyDescent="0.25">
      <c r="A32" s="481" t="s">
        <v>430</v>
      </c>
      <c r="B32" s="481"/>
      <c r="C32" s="481"/>
      <c r="D32" s="481"/>
      <c r="E32" s="481"/>
      <c r="F32" s="481"/>
      <c r="G32" s="481"/>
      <c r="H32" s="481"/>
      <c r="I32" s="481"/>
      <c r="J32" s="481"/>
      <c r="K32" s="481"/>
      <c r="L32" s="481"/>
      <c r="M32" s="481"/>
      <c r="N32" s="481"/>
      <c r="O32" s="481"/>
    </row>
    <row r="33" spans="1:16" ht="31.15" customHeight="1" x14ac:dyDescent="0.25">
      <c r="A33" s="481" t="s">
        <v>411</v>
      </c>
      <c r="B33" s="481"/>
      <c r="C33" s="481"/>
      <c r="D33" s="481"/>
      <c r="E33" s="481"/>
      <c r="F33" s="481"/>
      <c r="G33" s="481"/>
      <c r="H33" s="481"/>
      <c r="I33" s="481"/>
      <c r="J33" s="481"/>
      <c r="K33" s="481"/>
      <c r="L33" s="481"/>
      <c r="M33" s="481"/>
      <c r="N33" s="481"/>
      <c r="O33" s="481"/>
    </row>
    <row r="34" spans="1:16" ht="27" customHeight="1" x14ac:dyDescent="0.25">
      <c r="A34" s="481" t="s">
        <v>431</v>
      </c>
      <c r="B34" s="481"/>
      <c r="C34" s="481"/>
      <c r="D34" s="481"/>
      <c r="E34" s="481"/>
      <c r="F34" s="481"/>
      <c r="G34" s="481"/>
      <c r="H34" s="481"/>
      <c r="I34" s="481"/>
      <c r="J34" s="481"/>
      <c r="K34" s="481"/>
      <c r="L34" s="481"/>
      <c r="M34" s="481"/>
      <c r="N34" s="481"/>
      <c r="O34" s="481"/>
    </row>
    <row r="35" spans="1:16" ht="46.5" customHeight="1" x14ac:dyDescent="0.25">
      <c r="P35" s="98"/>
    </row>
    <row r="38" spans="1:16" x14ac:dyDescent="0.25">
      <c r="C38" s="418"/>
      <c r="D38" s="418"/>
      <c r="E38" s="418"/>
      <c r="F38" s="418"/>
      <c r="G38" s="418"/>
      <c r="H38" s="418"/>
      <c r="I38" s="418"/>
      <c r="J38" s="418"/>
      <c r="K38" s="418"/>
      <c r="L38" s="418"/>
      <c r="M38" s="418"/>
      <c r="N38" s="418"/>
      <c r="O38" s="418"/>
    </row>
  </sheetData>
  <mergeCells count="47">
    <mergeCell ref="A2:C2"/>
    <mergeCell ref="I5:O5"/>
    <mergeCell ref="M19:O23"/>
    <mergeCell ref="A3:G3"/>
    <mergeCell ref="I4:L4"/>
    <mergeCell ref="G15:H15"/>
    <mergeCell ref="D8:E8"/>
    <mergeCell ref="D9:E9"/>
    <mergeCell ref="D10:E10"/>
    <mergeCell ref="D11:E11"/>
    <mergeCell ref="I2:L2"/>
    <mergeCell ref="J20:L20"/>
    <mergeCell ref="J21:L21"/>
    <mergeCell ref="H19:I19"/>
    <mergeCell ref="M2:N2"/>
    <mergeCell ref="A9:C9"/>
    <mergeCell ref="A10:C10"/>
    <mergeCell ref="A15:B15"/>
    <mergeCell ref="B19:C19"/>
    <mergeCell ref="A11:C11"/>
    <mergeCell ref="D19:G19"/>
    <mergeCell ref="D22:G22"/>
    <mergeCell ref="D20:G20"/>
    <mergeCell ref="B20:C20"/>
    <mergeCell ref="J19:L19"/>
    <mergeCell ref="J15:O16"/>
    <mergeCell ref="A16:B16"/>
    <mergeCell ref="D16:F16"/>
    <mergeCell ref="G16:H16"/>
    <mergeCell ref="H20:I20"/>
    <mergeCell ref="L17:O18"/>
    <mergeCell ref="A34:O34"/>
    <mergeCell ref="C38:O38"/>
    <mergeCell ref="D28:E28"/>
    <mergeCell ref="H22:I22"/>
    <mergeCell ref="H21:I21"/>
    <mergeCell ref="A31:O31"/>
    <mergeCell ref="A32:O32"/>
    <mergeCell ref="A33:O33"/>
    <mergeCell ref="A23:C23"/>
    <mergeCell ref="A22:C22"/>
    <mergeCell ref="D21:G21"/>
    <mergeCell ref="A30:O30"/>
    <mergeCell ref="D23:G23"/>
    <mergeCell ref="H23:I23"/>
    <mergeCell ref="J23:L23"/>
    <mergeCell ref="J22:L22"/>
  </mergeCells>
  <pageMargins left="0.65" right="0.2" top="0.75" bottom="0.25" header="0.3" footer="0.3"/>
  <pageSetup scale="86" orientation="portrait" r:id="rId1"/>
  <colBreaks count="1" manualBreakCount="1">
    <brk id="15" max="38" man="1"/>
  </colBreaks>
  <drawing r:id="rId2"/>
  <legacyDrawing r:id="rId3"/>
  <mc:AlternateContent xmlns:mc="http://schemas.openxmlformats.org/markup-compatibility/2006">
    <mc:Choice Requires="x14">
      <controls>
        <mc:AlternateContent xmlns:mc="http://schemas.openxmlformats.org/markup-compatibility/2006">
          <mc:Choice Requires="x14">
            <control shapeId="1031" r:id="rId4" name="Check Box 7">
              <controlPr defaultSize="0" autoFill="0" autoLine="0" autoPict="0">
                <anchor moveWithCells="1">
                  <from>
                    <xdr:col>0</xdr:col>
                    <xdr:colOff>123825</xdr:colOff>
                    <xdr:row>24</xdr:row>
                    <xdr:rowOff>0</xdr:rowOff>
                  </from>
                  <to>
                    <xdr:col>3</xdr:col>
                    <xdr:colOff>276225</xdr:colOff>
                    <xdr:row>25</xdr:row>
                    <xdr:rowOff>57150</xdr:rowOff>
                  </to>
                </anchor>
              </controlPr>
            </control>
          </mc:Choice>
        </mc:AlternateContent>
        <mc:AlternateContent xmlns:mc="http://schemas.openxmlformats.org/markup-compatibility/2006">
          <mc:Choice Requires="x14">
            <control shapeId="1032" r:id="rId5" name="Check Box 8">
              <controlPr defaultSize="0" autoFill="0" autoLine="0" autoPict="0">
                <anchor moveWithCells="1">
                  <from>
                    <xdr:col>0</xdr:col>
                    <xdr:colOff>47625</xdr:colOff>
                    <xdr:row>25</xdr:row>
                    <xdr:rowOff>0</xdr:rowOff>
                  </from>
                  <to>
                    <xdr:col>2</xdr:col>
                    <xdr:colOff>152400</xdr:colOff>
                    <xdr:row>25</xdr:row>
                    <xdr:rowOff>219075</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6</xdr:col>
                    <xdr:colOff>28575</xdr:colOff>
                    <xdr:row>24</xdr:row>
                    <xdr:rowOff>0</xdr:rowOff>
                  </from>
                  <to>
                    <xdr:col>8</xdr:col>
                    <xdr:colOff>66675</xdr:colOff>
                    <xdr:row>25</xdr:row>
                    <xdr:rowOff>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0</xdr:col>
                    <xdr:colOff>123825</xdr:colOff>
                    <xdr:row>24</xdr:row>
                    <xdr:rowOff>0</xdr:rowOff>
                  </from>
                  <to>
                    <xdr:col>3</xdr:col>
                    <xdr:colOff>276225</xdr:colOff>
                    <xdr:row>25</xdr:row>
                    <xdr:rowOff>57150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0</xdr:col>
                    <xdr:colOff>47625</xdr:colOff>
                    <xdr:row>25</xdr:row>
                    <xdr:rowOff>0</xdr:rowOff>
                  </from>
                  <to>
                    <xdr:col>2</xdr:col>
                    <xdr:colOff>152400</xdr:colOff>
                    <xdr:row>25</xdr:row>
                    <xdr:rowOff>219075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T58"/>
  <sheetViews>
    <sheetView showGridLines="0" tabSelected="1" showWhiteSpace="0" view="pageBreakPreview" topLeftCell="A13" zoomScaleSheetLayoutView="100" workbookViewId="0">
      <selection activeCell="S10" sqref="S10"/>
    </sheetView>
  </sheetViews>
  <sheetFormatPr defaultRowHeight="15" x14ac:dyDescent="0.25"/>
  <cols>
    <col min="1" max="1" width="4.28515625" customWidth="1"/>
    <col min="2" max="2" width="25.140625" customWidth="1"/>
    <col min="3" max="3" width="2.28515625" customWidth="1"/>
    <col min="4" max="4" width="4" customWidth="1"/>
    <col min="5" max="5" width="13.7109375" customWidth="1"/>
    <col min="6" max="6" width="15.7109375" bestFit="1" customWidth="1"/>
    <col min="7" max="7" width="16" bestFit="1" customWidth="1"/>
    <col min="8" max="8" width="19.140625" customWidth="1"/>
    <col min="9" max="9" width="5.7109375" customWidth="1"/>
    <col min="10" max="10" width="15.140625" hidden="1" customWidth="1"/>
    <col min="11" max="12" width="9.140625" hidden="1" customWidth="1"/>
    <col min="13" max="13" width="0.140625" customWidth="1"/>
    <col min="14" max="15" width="9.140625" hidden="1" customWidth="1"/>
    <col min="16" max="16" width="13.28515625" bestFit="1" customWidth="1"/>
    <col min="17" max="17" width="12.5703125" bestFit="1" customWidth="1"/>
    <col min="18" max="19" width="10.140625" bestFit="1" customWidth="1"/>
    <col min="20" max="20" width="9.140625" bestFit="1" customWidth="1"/>
  </cols>
  <sheetData>
    <row r="1" spans="1:16" ht="28.5" customHeight="1" x14ac:dyDescent="0.25">
      <c r="A1" s="540" t="s">
        <v>217</v>
      </c>
      <c r="B1" s="541"/>
      <c r="C1" s="541"/>
      <c r="D1" s="541"/>
      <c r="E1" s="541"/>
      <c r="F1" s="541"/>
      <c r="G1" s="541"/>
      <c r="H1" s="542"/>
    </row>
    <row r="2" spans="1:16" s="12" customFormat="1" ht="28.15" customHeight="1" x14ac:dyDescent="0.25">
      <c r="A2" s="275" t="str">
        <f>'In Put'!A3</f>
        <v>Client's Name</v>
      </c>
      <c r="C2" s="12" t="s">
        <v>11</v>
      </c>
      <c r="D2" s="528" t="s">
        <v>440</v>
      </c>
      <c r="E2" s="528"/>
      <c r="F2" s="528"/>
      <c r="G2" s="276" t="s">
        <v>14</v>
      </c>
      <c r="H2" s="277">
        <f>summary!O2</f>
        <v>44956</v>
      </c>
    </row>
    <row r="3" spans="1:16" ht="17.45" customHeight="1" x14ac:dyDescent="0.25">
      <c r="A3" s="266" t="s">
        <v>12</v>
      </c>
      <c r="C3" t="s">
        <v>11</v>
      </c>
      <c r="D3" t="str">
        <f>'In Put'!B14</f>
        <v>Land &amp; Building</v>
      </c>
      <c r="H3" s="267"/>
    </row>
    <row r="4" spans="1:16" ht="16.149999999999999" customHeight="1" x14ac:dyDescent="0.25">
      <c r="A4" s="266" t="s">
        <v>13</v>
      </c>
      <c r="C4" t="s">
        <v>11</v>
      </c>
      <c r="D4" s="550">
        <f>'In Put'!B43</f>
        <v>791</v>
      </c>
      <c r="E4" s="550"/>
      <c r="H4" s="267"/>
    </row>
    <row r="5" spans="1:16" ht="21" customHeight="1" x14ac:dyDescent="0.25">
      <c r="A5" s="268" t="s">
        <v>10</v>
      </c>
      <c r="C5" s="12" t="s">
        <v>11</v>
      </c>
      <c r="D5" s="551" t="str">
        <f>'In Put'!B42</f>
        <v>Tarkeshwor Municipality-01(Sabik Sangla VDC 09'Ka'), Kathmandu District</v>
      </c>
      <c r="E5" s="551"/>
      <c r="F5" s="551"/>
      <c r="G5" s="551"/>
      <c r="H5" s="552"/>
      <c r="J5">
        <f>1037.53/342.25</f>
        <v>3.0314974433893354</v>
      </c>
    </row>
    <row r="6" spans="1:16" s="2" customFormat="1" x14ac:dyDescent="0.25">
      <c r="A6" s="269" t="str">
        <f>'In Put'!A29</f>
        <v>Owner's Name</v>
      </c>
      <c r="B6" s="23"/>
      <c r="C6" s="23" t="s">
        <v>11</v>
      </c>
      <c r="D6" s="2" t="str">
        <f>'In Put'!B29</f>
        <v>Mrs. Lila Khatri</v>
      </c>
      <c r="G6" s="23"/>
      <c r="H6" s="270"/>
    </row>
    <row r="7" spans="1:16" s="2" customFormat="1" ht="15.75" x14ac:dyDescent="0.25">
      <c r="A7" s="537" t="s">
        <v>9</v>
      </c>
      <c r="B7" s="538"/>
      <c r="C7" s="538"/>
      <c r="D7" s="538"/>
      <c r="E7" s="538"/>
      <c r="F7" s="538"/>
      <c r="G7" s="538"/>
      <c r="H7" s="539"/>
    </row>
    <row r="8" spans="1:16" ht="31.5" x14ac:dyDescent="0.25">
      <c r="A8" s="279" t="s">
        <v>0</v>
      </c>
      <c r="B8" s="279" t="s">
        <v>1</v>
      </c>
      <c r="C8" s="543" t="s">
        <v>2</v>
      </c>
      <c r="D8" s="544"/>
      <c r="E8" s="280" t="s">
        <v>19</v>
      </c>
      <c r="F8" s="280" t="s">
        <v>3</v>
      </c>
      <c r="G8" s="279" t="s">
        <v>4</v>
      </c>
      <c r="H8" s="279" t="s">
        <v>5</v>
      </c>
      <c r="J8">
        <f>1048.14/342.25</f>
        <v>3.0624981738495256</v>
      </c>
    </row>
    <row r="9" spans="1:16" ht="51.75" customHeight="1" x14ac:dyDescent="0.25">
      <c r="A9" s="271">
        <v>1</v>
      </c>
      <c r="B9" s="116" t="s">
        <v>6</v>
      </c>
      <c r="C9" s="545">
        <f>D4</f>
        <v>791</v>
      </c>
      <c r="D9" s="546"/>
      <c r="E9" s="122">
        <v>2.95</v>
      </c>
      <c r="F9" s="278">
        <v>560000</v>
      </c>
      <c r="G9" s="401">
        <f>E9*F9</f>
        <v>1652000</v>
      </c>
      <c r="H9" s="272" t="s">
        <v>422</v>
      </c>
    </row>
    <row r="10" spans="1:16" ht="63" x14ac:dyDescent="0.25">
      <c r="A10" s="273">
        <v>2</v>
      </c>
      <c r="B10" s="117" t="s">
        <v>7</v>
      </c>
      <c r="C10" s="547"/>
      <c r="D10" s="548"/>
      <c r="E10" s="123">
        <f>E9</f>
        <v>2.95</v>
      </c>
      <c r="F10" s="259">
        <v>3500000</v>
      </c>
      <c r="G10" s="259">
        <f>F10*E10</f>
        <v>10325000</v>
      </c>
      <c r="H10" s="274" t="s">
        <v>8</v>
      </c>
      <c r="K10">
        <v>13.63</v>
      </c>
    </row>
    <row r="11" spans="1:16" ht="30" x14ac:dyDescent="0.25">
      <c r="A11" s="281"/>
      <c r="B11" s="549" t="s">
        <v>249</v>
      </c>
      <c r="C11" s="549"/>
      <c r="D11" s="549"/>
      <c r="E11" s="549"/>
      <c r="F11" s="549"/>
      <c r="G11" s="402">
        <f>G9*0.3+G10*0.7</f>
        <v>7723100</v>
      </c>
      <c r="H11" s="282" t="s">
        <v>328</v>
      </c>
      <c r="K11">
        <f>1026.18/342.25</f>
        <v>2.9983345507669834</v>
      </c>
      <c r="O11">
        <f>87.42*10.76</f>
        <v>940.63919999999996</v>
      </c>
      <c r="P11" s="1"/>
    </row>
    <row r="12" spans="1:16" ht="28.9" customHeight="1" x14ac:dyDescent="0.25">
      <c r="A12" s="283"/>
      <c r="B12" s="536" t="s">
        <v>329</v>
      </c>
      <c r="C12" s="536"/>
      <c r="D12" s="536"/>
      <c r="E12" s="536"/>
      <c r="F12" s="536"/>
      <c r="G12" s="284">
        <f>F9*0.3+F10*0.7</f>
        <v>2618000</v>
      </c>
      <c r="H12" s="285"/>
      <c r="P12" s="1"/>
    </row>
    <row r="13" spans="1:16" ht="16.5" customHeight="1" x14ac:dyDescent="0.25">
      <c r="A13" s="283"/>
      <c r="B13" s="351"/>
      <c r="C13" s="351"/>
      <c r="D13" s="351"/>
      <c r="E13" s="351"/>
      <c r="F13" s="351"/>
      <c r="G13" s="284"/>
      <c r="H13" s="285"/>
      <c r="P13" s="1"/>
    </row>
    <row r="14" spans="1:16" ht="19.5" customHeight="1" x14ac:dyDescent="0.25">
      <c r="A14" s="283"/>
      <c r="B14" s="594" t="s">
        <v>351</v>
      </c>
      <c r="C14" s="594"/>
      <c r="D14" s="594"/>
      <c r="E14" s="594"/>
      <c r="F14" s="381">
        <f>G9*0.3</f>
        <v>495600</v>
      </c>
      <c r="G14" s="591"/>
      <c r="H14" s="383"/>
      <c r="P14" s="1"/>
    </row>
    <row r="15" spans="1:16" ht="16.5" customHeight="1" x14ac:dyDescent="0.25">
      <c r="A15" s="283"/>
      <c r="B15" s="594" t="s">
        <v>352</v>
      </c>
      <c r="C15" s="594"/>
      <c r="D15" s="594"/>
      <c r="E15" s="594"/>
      <c r="F15" s="381">
        <f>G10*0.7</f>
        <v>7227500</v>
      </c>
      <c r="G15" s="592"/>
      <c r="H15" s="383"/>
      <c r="P15" s="1">
        <f>4250000*0.15%</f>
        <v>6375</v>
      </c>
    </row>
    <row r="16" spans="1:16" ht="17.25" customHeight="1" x14ac:dyDescent="0.25">
      <c r="A16" s="283"/>
      <c r="B16" s="595" t="s">
        <v>353</v>
      </c>
      <c r="C16" s="596"/>
      <c r="D16" s="596"/>
      <c r="E16" s="597"/>
      <c r="F16" s="382">
        <f>F14+F15</f>
        <v>7723100</v>
      </c>
      <c r="G16" s="593"/>
      <c r="H16" s="383"/>
      <c r="P16" s="1"/>
    </row>
    <row r="17" spans="1:16" ht="6.6" customHeight="1" x14ac:dyDescent="0.25">
      <c r="A17" s="283"/>
      <c r="B17" s="351"/>
      <c r="C17" s="351"/>
      <c r="D17" s="351"/>
      <c r="E17" s="351"/>
      <c r="F17" s="351"/>
      <c r="G17" s="284"/>
      <c r="H17" s="285"/>
      <c r="P17" s="1"/>
    </row>
    <row r="18" spans="1:16" ht="17.25" customHeight="1" x14ac:dyDescent="0.3">
      <c r="A18" s="357" t="s">
        <v>332</v>
      </c>
      <c r="B18" s="358"/>
      <c r="C18" s="358"/>
      <c r="D18" s="358"/>
      <c r="E18" s="358"/>
      <c r="F18" s="358"/>
      <c r="G18" s="358"/>
      <c r="H18" s="359"/>
      <c r="P18" s="1"/>
    </row>
    <row r="19" spans="1:16" ht="15.75" customHeight="1" x14ac:dyDescent="0.25">
      <c r="A19" s="360" t="s">
        <v>333</v>
      </c>
      <c r="B19" s="97"/>
      <c r="G19" t="s">
        <v>334</v>
      </c>
      <c r="H19" s="267"/>
      <c r="P19" s="1"/>
    </row>
    <row r="20" spans="1:16" ht="15" customHeight="1" x14ac:dyDescent="0.3">
      <c r="A20" s="361" t="s">
        <v>335</v>
      </c>
      <c r="B20" s="362" t="s">
        <v>1</v>
      </c>
      <c r="C20" s="598" t="s">
        <v>15</v>
      </c>
      <c r="D20" s="599"/>
      <c r="E20" s="362" t="s">
        <v>16</v>
      </c>
      <c r="F20" s="362" t="s">
        <v>17</v>
      </c>
      <c r="G20" s="362" t="s">
        <v>4</v>
      </c>
      <c r="H20" s="362" t="s">
        <v>5</v>
      </c>
      <c r="P20" s="1"/>
    </row>
    <row r="21" spans="1:16" ht="18.75" customHeight="1" x14ac:dyDescent="0.3">
      <c r="A21" s="113">
        <v>1</v>
      </c>
      <c r="B21" s="115" t="s">
        <v>242</v>
      </c>
      <c r="C21" s="555" t="s">
        <v>18</v>
      </c>
      <c r="D21" s="556"/>
      <c r="E21" s="363">
        <v>716.25</v>
      </c>
      <c r="F21" s="364">
        <v>3500</v>
      </c>
      <c r="G21" s="365">
        <f>E21*F21</f>
        <v>2506875</v>
      </c>
      <c r="H21" s="553"/>
      <c r="P21" s="1"/>
    </row>
    <row r="22" spans="1:16" ht="18" customHeight="1" x14ac:dyDescent="0.3">
      <c r="A22" s="113">
        <v>2</v>
      </c>
      <c r="B22" s="366" t="s">
        <v>206</v>
      </c>
      <c r="C22" s="555" t="s">
        <v>18</v>
      </c>
      <c r="D22" s="556"/>
      <c r="E22" s="363">
        <v>755.25</v>
      </c>
      <c r="F22" s="364">
        <v>3500</v>
      </c>
      <c r="G22" s="365">
        <f t="shared" ref="G22:G24" si="0">E22*F22</f>
        <v>2643375</v>
      </c>
      <c r="H22" s="553"/>
      <c r="P22" s="1"/>
    </row>
    <row r="23" spans="1:16" ht="18" customHeight="1" x14ac:dyDescent="0.3">
      <c r="A23" s="113">
        <v>3</v>
      </c>
      <c r="B23" s="366" t="s">
        <v>238</v>
      </c>
      <c r="C23" s="555" t="s">
        <v>18</v>
      </c>
      <c r="D23" s="556"/>
      <c r="E23" s="363">
        <v>755.25</v>
      </c>
      <c r="F23" s="364">
        <v>3500</v>
      </c>
      <c r="G23" s="365">
        <f t="shared" si="0"/>
        <v>2643375</v>
      </c>
      <c r="H23" s="553"/>
      <c r="P23" s="1"/>
    </row>
    <row r="24" spans="1:16" ht="19.149999999999999" customHeight="1" x14ac:dyDescent="0.3">
      <c r="A24" s="113">
        <v>4</v>
      </c>
      <c r="B24" s="366" t="s">
        <v>421</v>
      </c>
      <c r="C24" s="555" t="s">
        <v>18</v>
      </c>
      <c r="D24" s="556"/>
      <c r="E24" s="363">
        <v>609.01</v>
      </c>
      <c r="F24" s="364">
        <v>3500</v>
      </c>
      <c r="G24" s="365">
        <f t="shared" si="0"/>
        <v>2131535</v>
      </c>
      <c r="H24" s="553"/>
      <c r="P24" s="1"/>
    </row>
    <row r="25" spans="1:16" ht="19.899999999999999" customHeight="1" x14ac:dyDescent="0.3">
      <c r="A25" s="113"/>
      <c r="B25" s="366" t="s">
        <v>336</v>
      </c>
      <c r="C25" s="557" t="s">
        <v>18</v>
      </c>
      <c r="D25" s="558"/>
      <c r="E25" s="367">
        <f>SUM(E21:E24)</f>
        <v>2835.76</v>
      </c>
      <c r="F25" s="368"/>
      <c r="G25" s="365"/>
      <c r="H25" s="553"/>
      <c r="P25" s="1"/>
    </row>
    <row r="26" spans="1:16" ht="19.5" customHeight="1" x14ac:dyDescent="0.3">
      <c r="A26" s="113"/>
      <c r="B26" s="369" t="s">
        <v>337</v>
      </c>
      <c r="C26" s="370"/>
      <c r="D26" s="292"/>
      <c r="E26" s="371"/>
      <c r="F26" s="372"/>
      <c r="G26" s="365">
        <f>SUM(G21:G25)</f>
        <v>9925160</v>
      </c>
      <c r="H26" s="553"/>
      <c r="P26" s="1"/>
    </row>
    <row r="27" spans="1:16" ht="16.5" customHeight="1" x14ac:dyDescent="0.25">
      <c r="A27" s="113"/>
      <c r="B27" s="559" t="s">
        <v>338</v>
      </c>
      <c r="C27" s="560"/>
      <c r="D27" s="560"/>
      <c r="E27" s="560"/>
      <c r="F27" s="560"/>
      <c r="G27" s="373">
        <f>G26*0.05</f>
        <v>496258</v>
      </c>
      <c r="H27" s="553"/>
      <c r="P27" s="1"/>
    </row>
    <row r="28" spans="1:16" ht="15.75" customHeight="1" x14ac:dyDescent="0.25">
      <c r="A28" s="113"/>
      <c r="B28" s="559" t="s">
        <v>339</v>
      </c>
      <c r="C28" s="560"/>
      <c r="D28" s="560"/>
      <c r="E28" s="560"/>
      <c r="F28" s="560"/>
      <c r="G28" s="373">
        <f>G26*0.05</f>
        <v>496258</v>
      </c>
      <c r="H28" s="553"/>
      <c r="P28" s="1"/>
    </row>
    <row r="29" spans="1:16" ht="15" customHeight="1" x14ac:dyDescent="0.25">
      <c r="A29" s="374"/>
      <c r="B29" s="561" t="s">
        <v>340</v>
      </c>
      <c r="C29" s="562"/>
      <c r="D29" s="562"/>
      <c r="E29" s="562"/>
      <c r="F29" s="558"/>
      <c r="G29" s="375">
        <f>SUM(G26:G28)</f>
        <v>10917676</v>
      </c>
      <c r="H29" s="554"/>
      <c r="P29" s="1"/>
    </row>
    <row r="30" spans="1:16" ht="16.5" customHeight="1" x14ac:dyDescent="0.25">
      <c r="A30" s="574" t="s">
        <v>341</v>
      </c>
      <c r="B30" s="575"/>
      <c r="C30" s="575"/>
      <c r="D30" s="575"/>
      <c r="E30" s="575"/>
      <c r="F30" s="5" t="s">
        <v>342</v>
      </c>
      <c r="G30" s="1">
        <f>G29</f>
        <v>10917676</v>
      </c>
      <c r="H30" s="267"/>
      <c r="P30" s="1"/>
    </row>
    <row r="31" spans="1:16" ht="16.5" customHeight="1" x14ac:dyDescent="0.25">
      <c r="A31" s="574" t="s">
        <v>343</v>
      </c>
      <c r="B31" s="575"/>
      <c r="C31" s="575"/>
      <c r="D31" s="575"/>
      <c r="E31" s="575"/>
      <c r="F31" s="5" t="s">
        <v>11</v>
      </c>
      <c r="G31">
        <v>45</v>
      </c>
      <c r="H31" s="267" t="s">
        <v>344</v>
      </c>
      <c r="P31" s="1"/>
    </row>
    <row r="32" spans="1:16" ht="13.5" customHeight="1" x14ac:dyDescent="0.25">
      <c r="A32" s="574" t="s">
        <v>345</v>
      </c>
      <c r="B32" s="575"/>
      <c r="C32" s="575"/>
      <c r="D32" s="575"/>
      <c r="E32" s="575"/>
      <c r="F32" s="5"/>
      <c r="G32" s="2">
        <v>0</v>
      </c>
      <c r="H32" s="293" t="s">
        <v>344</v>
      </c>
      <c r="P32" s="1"/>
    </row>
    <row r="33" spans="1:20" ht="15" customHeight="1" x14ac:dyDescent="0.25">
      <c r="A33" s="574" t="s">
        <v>346</v>
      </c>
      <c r="B33" s="575"/>
      <c r="C33" s="575"/>
      <c r="D33" s="575"/>
      <c r="E33" s="575"/>
      <c r="F33" s="5" t="s">
        <v>11</v>
      </c>
      <c r="G33" s="376">
        <v>2.2499999999999999E-2</v>
      </c>
      <c r="H33" s="267"/>
      <c r="P33" s="1"/>
    </row>
    <row r="34" spans="1:20" ht="14.25" customHeight="1" x14ac:dyDescent="0.25">
      <c r="A34" s="574" t="s">
        <v>347</v>
      </c>
      <c r="B34" s="575"/>
      <c r="C34" s="575"/>
      <c r="D34" s="575"/>
      <c r="E34" s="575"/>
      <c r="F34" s="5"/>
      <c r="G34" s="377">
        <f>G33*G32</f>
        <v>0</v>
      </c>
      <c r="H34" s="267"/>
      <c r="P34" s="1"/>
    </row>
    <row r="35" spans="1:20" ht="15.75" customHeight="1" x14ac:dyDescent="0.25">
      <c r="A35" s="574" t="s">
        <v>348</v>
      </c>
      <c r="B35" s="575"/>
      <c r="C35" s="575"/>
      <c r="D35" s="575"/>
      <c r="E35" s="575"/>
      <c r="F35" s="5" t="s">
        <v>342</v>
      </c>
      <c r="G35" s="378">
        <f>G30*G34</f>
        <v>0</v>
      </c>
      <c r="H35" s="267"/>
      <c r="P35" s="1"/>
    </row>
    <row r="36" spans="1:20" ht="15" customHeight="1" x14ac:dyDescent="0.25">
      <c r="A36" s="379" t="s">
        <v>349</v>
      </c>
      <c r="B36" s="96"/>
      <c r="C36" s="96"/>
      <c r="D36" s="96"/>
      <c r="E36" s="96"/>
      <c r="F36" s="5" t="s">
        <v>342</v>
      </c>
      <c r="G36" s="406">
        <f>G30-G35</f>
        <v>10917676</v>
      </c>
      <c r="H36" s="267"/>
      <c r="P36" s="1"/>
    </row>
    <row r="37" spans="1:20" ht="29.25" customHeight="1" x14ac:dyDescent="0.25">
      <c r="A37" s="563" t="s">
        <v>350</v>
      </c>
      <c r="B37" s="418"/>
      <c r="C37" s="418"/>
      <c r="D37" s="418"/>
      <c r="E37" s="418"/>
      <c r="F37" s="5" t="s">
        <v>342</v>
      </c>
      <c r="G37" s="185">
        <f>G36/E25</f>
        <v>3849.9999999999995</v>
      </c>
      <c r="H37" s="267"/>
      <c r="P37" s="1"/>
    </row>
    <row r="38" spans="1:20" ht="4.1500000000000004" customHeight="1" x14ac:dyDescent="0.25">
      <c r="A38" s="354"/>
      <c r="B38" s="355"/>
      <c r="C38" s="355"/>
      <c r="D38" s="355"/>
      <c r="E38" s="355"/>
      <c r="F38" s="355"/>
      <c r="G38" s="356"/>
      <c r="H38" s="380"/>
      <c r="P38" s="1"/>
    </row>
    <row r="39" spans="1:20" ht="18" customHeight="1" x14ac:dyDescent="0.3">
      <c r="A39" s="564" t="s">
        <v>399</v>
      </c>
      <c r="B39" s="565"/>
      <c r="C39" s="565"/>
      <c r="D39" s="565"/>
      <c r="E39" s="565"/>
      <c r="F39" s="565"/>
      <c r="G39" s="565"/>
      <c r="H39" s="566"/>
      <c r="R39" s="1"/>
    </row>
    <row r="40" spans="1:20" ht="27.75" customHeight="1" x14ac:dyDescent="0.25">
      <c r="A40" s="115" t="s">
        <v>208</v>
      </c>
      <c r="B40" s="576" t="s">
        <v>1</v>
      </c>
      <c r="C40" s="577"/>
      <c r="D40" s="577"/>
      <c r="E40" s="578"/>
      <c r="F40" s="389" t="s">
        <v>400</v>
      </c>
      <c r="G40" s="390" t="s">
        <v>401</v>
      </c>
      <c r="H40" s="391" t="s">
        <v>402</v>
      </c>
      <c r="P40" s="1"/>
      <c r="Q40" s="142"/>
    </row>
    <row r="41" spans="1:20" ht="25.5" customHeight="1" x14ac:dyDescent="0.25">
      <c r="A41" s="579">
        <v>1</v>
      </c>
      <c r="B41" s="581" t="s">
        <v>236</v>
      </c>
      <c r="C41" s="292">
        <v>1</v>
      </c>
      <c r="D41" s="583" t="s">
        <v>134</v>
      </c>
      <c r="E41" s="584"/>
      <c r="F41" s="403">
        <f>G10</f>
        <v>10325000</v>
      </c>
      <c r="G41" s="404">
        <f>G11</f>
        <v>7723100</v>
      </c>
      <c r="H41" s="404">
        <f>G41*0.8</f>
        <v>6178480</v>
      </c>
      <c r="P41" s="1"/>
      <c r="Q41" s="142"/>
    </row>
    <row r="42" spans="1:20" ht="23.25" customHeight="1" x14ac:dyDescent="0.25">
      <c r="A42" s="580"/>
      <c r="B42" s="582"/>
      <c r="C42" s="292">
        <v>2</v>
      </c>
      <c r="D42" s="583" t="s">
        <v>183</v>
      </c>
      <c r="E42" s="584"/>
      <c r="F42" s="403">
        <f>G36</f>
        <v>10917676</v>
      </c>
      <c r="G42" s="404">
        <f>F42</f>
        <v>10917676</v>
      </c>
      <c r="H42" s="404">
        <f>G42*0.8</f>
        <v>8734140.8000000007</v>
      </c>
      <c r="P42" s="1"/>
      <c r="Q42" s="142"/>
      <c r="R42" s="1"/>
      <c r="S42" s="1"/>
    </row>
    <row r="43" spans="1:20" ht="19.5" customHeight="1" x14ac:dyDescent="0.25">
      <c r="A43" s="585"/>
      <c r="B43" s="586"/>
      <c r="C43" s="586"/>
      <c r="D43" s="587"/>
      <c r="E43" s="392" t="s">
        <v>250</v>
      </c>
      <c r="F43" s="403">
        <f>SUM(F41:F42)</f>
        <v>21242676</v>
      </c>
      <c r="G43" s="404">
        <f>SUM(G41:G42)</f>
        <v>18640776</v>
      </c>
      <c r="H43" s="404">
        <f>SUM(H41:H42)</f>
        <v>14912620.800000001</v>
      </c>
      <c r="P43" s="1"/>
      <c r="Q43" s="142"/>
      <c r="R43" s="1"/>
      <c r="S43" s="1"/>
    </row>
    <row r="44" spans="1:20" ht="24" customHeight="1" x14ac:dyDescent="0.25">
      <c r="A44" s="588"/>
      <c r="B44" s="589"/>
      <c r="C44" s="589"/>
      <c r="D44" s="590"/>
      <c r="E44" s="393" t="s">
        <v>231</v>
      </c>
      <c r="F44" s="405">
        <v>21242000</v>
      </c>
      <c r="G44" s="375">
        <v>18640000</v>
      </c>
      <c r="H44" s="375">
        <v>14912000</v>
      </c>
      <c r="P44" s="142"/>
      <c r="T44" s="1"/>
    </row>
    <row r="45" spans="1:20" ht="26.25" customHeight="1" x14ac:dyDescent="0.25">
      <c r="A45" s="567" t="s">
        <v>488</v>
      </c>
      <c r="B45" s="568"/>
      <c r="C45" s="568"/>
      <c r="D45" s="568"/>
      <c r="E45" s="568"/>
      <c r="F45" s="568"/>
      <c r="G45" s="568"/>
      <c r="H45" s="569"/>
      <c r="P45" s="1"/>
      <c r="Q45" s="1"/>
    </row>
    <row r="46" spans="1:20" ht="27" customHeight="1" x14ac:dyDescent="0.25">
      <c r="A46" s="570"/>
      <c r="B46" s="568"/>
      <c r="C46" s="568"/>
      <c r="D46" s="568"/>
      <c r="E46" s="568"/>
      <c r="F46" s="568"/>
      <c r="G46" s="568"/>
      <c r="H46" s="569"/>
    </row>
    <row r="47" spans="1:20" ht="27" customHeight="1" x14ac:dyDescent="0.25">
      <c r="A47" s="571"/>
      <c r="B47" s="572"/>
      <c r="C47" s="572"/>
      <c r="D47" s="572"/>
      <c r="E47" s="572"/>
      <c r="F47" s="572"/>
      <c r="G47" s="572"/>
      <c r="H47" s="573"/>
      <c r="P47" s="1"/>
    </row>
    <row r="48" spans="1:20" ht="29.25" customHeight="1" x14ac:dyDescent="0.25">
      <c r="G48" s="352"/>
    </row>
    <row r="49" spans="1:8" ht="29.25" customHeight="1" x14ac:dyDescent="0.25">
      <c r="A49" s="2"/>
      <c r="G49" s="1"/>
      <c r="H49" s="1"/>
    </row>
    <row r="50" spans="1:8" ht="29.25" customHeight="1" x14ac:dyDescent="0.25">
      <c r="B50" s="13"/>
      <c r="C50" s="13"/>
      <c r="D50" s="13"/>
      <c r="E50" s="13"/>
      <c r="F50" s="13"/>
      <c r="H50" s="13"/>
    </row>
    <row r="51" spans="1:8" ht="29.25" customHeight="1" x14ac:dyDescent="0.25">
      <c r="G51" s="13"/>
    </row>
    <row r="52" spans="1:8" ht="29.25" customHeight="1" x14ac:dyDescent="0.25"/>
    <row r="53" spans="1:8" ht="29.25" customHeight="1" x14ac:dyDescent="0.25">
      <c r="A53" s="9"/>
      <c r="B53" s="350"/>
      <c r="C53" s="350"/>
      <c r="D53" s="350"/>
      <c r="E53" s="350"/>
      <c r="F53" s="350"/>
      <c r="H53" s="350"/>
    </row>
    <row r="54" spans="1:8" ht="29.25" customHeight="1" x14ac:dyDescent="0.25">
      <c r="A54" s="9"/>
      <c r="B54" s="350"/>
      <c r="C54" s="350"/>
      <c r="D54" s="350"/>
      <c r="E54" s="350"/>
      <c r="F54" s="350"/>
      <c r="G54" s="350"/>
      <c r="H54" s="350"/>
    </row>
    <row r="55" spans="1:8" ht="29.25" customHeight="1" x14ac:dyDescent="0.25">
      <c r="B55" s="25"/>
      <c r="C55" s="25"/>
      <c r="D55" s="25"/>
      <c r="E55" s="25"/>
      <c r="F55" s="25"/>
      <c r="G55" s="350"/>
      <c r="H55" s="25"/>
    </row>
    <row r="56" spans="1:8" ht="29.25" customHeight="1" x14ac:dyDescent="0.25">
      <c r="B56" s="25"/>
      <c r="C56" s="25"/>
      <c r="D56" s="25"/>
      <c r="E56" s="25"/>
      <c r="F56" s="25"/>
      <c r="G56" s="25"/>
      <c r="H56" s="25"/>
    </row>
    <row r="57" spans="1:8" ht="29.25" customHeight="1" x14ac:dyDescent="0.25">
      <c r="G57" s="25"/>
      <c r="H57" s="1"/>
    </row>
    <row r="58" spans="1:8" ht="29.25" customHeight="1" x14ac:dyDescent="0.25"/>
  </sheetData>
  <mergeCells count="38">
    <mergeCell ref="G14:G16"/>
    <mergeCell ref="B15:E15"/>
    <mergeCell ref="B16:E16"/>
    <mergeCell ref="B14:E14"/>
    <mergeCell ref="A35:E35"/>
    <mergeCell ref="C20:D20"/>
    <mergeCell ref="C21:D21"/>
    <mergeCell ref="C23:D23"/>
    <mergeCell ref="A37:E37"/>
    <mergeCell ref="A39:H39"/>
    <mergeCell ref="A45:H47"/>
    <mergeCell ref="A30:E30"/>
    <mergeCell ref="A31:E31"/>
    <mergeCell ref="A32:E32"/>
    <mergeCell ref="A33:E33"/>
    <mergeCell ref="A34:E34"/>
    <mergeCell ref="B40:E40"/>
    <mergeCell ref="A41:A42"/>
    <mergeCell ref="B41:B42"/>
    <mergeCell ref="D41:E41"/>
    <mergeCell ref="A43:D44"/>
    <mergeCell ref="D42:E42"/>
    <mergeCell ref="H21:H29"/>
    <mergeCell ref="C22:D22"/>
    <mergeCell ref="C24:D24"/>
    <mergeCell ref="C25:D25"/>
    <mergeCell ref="B27:F27"/>
    <mergeCell ref="B28:F28"/>
    <mergeCell ref="B29:F29"/>
    <mergeCell ref="B12:F12"/>
    <mergeCell ref="A7:H7"/>
    <mergeCell ref="A1:H1"/>
    <mergeCell ref="C8:D8"/>
    <mergeCell ref="C9:D10"/>
    <mergeCell ref="B11:F11"/>
    <mergeCell ref="D4:E4"/>
    <mergeCell ref="D2:F2"/>
    <mergeCell ref="D5:H5"/>
  </mergeCells>
  <printOptions horizontalCentered="1" verticalCentered="1"/>
  <pageMargins left="0.59375" right="0.2" top="0.75" bottom="0.75" header="0.3" footer="0.3"/>
  <pageSetup scale="70" orientation="portrait" r:id="rId1"/>
  <headerFooter>
    <oddFooter>&amp;R&amp;G</oddFooter>
  </headerFooter>
  <rowBreaks count="1" manualBreakCount="1">
    <brk id="47" max="7" man="1"/>
  </rowBreaks>
  <colBreaks count="1" manualBreakCount="1">
    <brk id="8" max="1048575" man="1"/>
  </col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J48"/>
  <sheetViews>
    <sheetView view="pageLayout" topLeftCell="A38" workbookViewId="0">
      <selection activeCell="E53" sqref="E53"/>
    </sheetView>
  </sheetViews>
  <sheetFormatPr defaultRowHeight="15" x14ac:dyDescent="0.25"/>
  <cols>
    <col min="1" max="1" width="6.7109375" customWidth="1"/>
    <col min="2" max="2" width="3.28515625" customWidth="1"/>
    <col min="9" max="9" width="7.7109375" customWidth="1"/>
    <col min="10" max="10" width="12.28515625" customWidth="1"/>
  </cols>
  <sheetData>
    <row r="1" spans="2:10" ht="18.75" x14ac:dyDescent="0.3">
      <c r="B1" s="6" t="s">
        <v>212</v>
      </c>
      <c r="C1" s="27"/>
      <c r="D1" s="27"/>
      <c r="E1" s="27"/>
      <c r="F1" s="27"/>
      <c r="G1" s="27"/>
      <c r="H1" s="27"/>
      <c r="I1" s="27"/>
      <c r="J1" s="27"/>
    </row>
    <row r="2" spans="2:10" ht="38.25" customHeight="1" x14ac:dyDescent="0.25">
      <c r="B2" s="607" t="s">
        <v>109</v>
      </c>
      <c r="C2" s="607"/>
      <c r="D2" s="607"/>
      <c r="E2" s="607"/>
      <c r="F2" s="607"/>
      <c r="G2" s="607"/>
      <c r="H2" s="607"/>
      <c r="I2" s="607"/>
      <c r="J2" s="607"/>
    </row>
    <row r="3" spans="2:10" ht="72.75" customHeight="1" x14ac:dyDescent="0.25">
      <c r="B3" s="607" t="s">
        <v>110</v>
      </c>
      <c r="C3" s="607"/>
      <c r="D3" s="607"/>
      <c r="E3" s="607"/>
      <c r="F3" s="607"/>
      <c r="G3" s="607"/>
      <c r="H3" s="607"/>
      <c r="I3" s="607"/>
      <c r="J3" s="607"/>
    </row>
    <row r="4" spans="2:10" x14ac:dyDescent="0.25">
      <c r="B4" s="26"/>
      <c r="C4" s="26"/>
      <c r="D4" s="26"/>
      <c r="E4" s="26"/>
      <c r="F4" s="26"/>
      <c r="G4" s="26"/>
      <c r="H4" s="26"/>
      <c r="I4" s="26"/>
      <c r="J4" s="26"/>
    </row>
    <row r="5" spans="2:10" x14ac:dyDescent="0.25">
      <c r="B5" s="27"/>
      <c r="C5" s="27"/>
      <c r="D5" s="27"/>
      <c r="E5" s="27"/>
      <c r="F5" s="27"/>
      <c r="G5" s="27"/>
      <c r="H5" s="27"/>
      <c r="I5" s="27"/>
      <c r="J5" s="27"/>
    </row>
    <row r="6" spans="2:10" ht="18.75" x14ac:dyDescent="0.3">
      <c r="B6" s="6" t="s">
        <v>213</v>
      </c>
      <c r="C6" s="27"/>
      <c r="D6" s="27"/>
      <c r="E6" s="27"/>
      <c r="F6" s="27"/>
      <c r="G6" s="27"/>
      <c r="H6" s="27"/>
      <c r="I6" s="27"/>
      <c r="J6" s="27"/>
    </row>
    <row r="7" spans="2:10" x14ac:dyDescent="0.25">
      <c r="B7" s="609"/>
      <c r="C7" s="610"/>
      <c r="D7" s="610"/>
      <c r="E7" s="610"/>
      <c r="F7" s="610"/>
      <c r="G7" s="610"/>
      <c r="H7" s="610"/>
      <c r="I7" s="610"/>
      <c r="J7" s="610"/>
    </row>
    <row r="8" spans="2:10" ht="27.6" customHeight="1" x14ac:dyDescent="0.25">
      <c r="B8" s="35">
        <v>1</v>
      </c>
      <c r="C8" s="432" t="str">
        <f>summary!A30</f>
        <v xml:space="preserve"> The Considered Site is resindential area located at Mega City,Sangla.</v>
      </c>
      <c r="D8" s="432"/>
      <c r="E8" s="432"/>
      <c r="F8" s="432"/>
      <c r="G8" s="432"/>
      <c r="H8" s="432"/>
      <c r="I8" s="432"/>
      <c r="J8" s="432"/>
    </row>
    <row r="9" spans="2:10" ht="36" customHeight="1" x14ac:dyDescent="0.25">
      <c r="B9" s="35">
        <v>2</v>
      </c>
      <c r="C9" s="611" t="s">
        <v>482</v>
      </c>
      <c r="D9" s="611"/>
      <c r="E9" s="611"/>
      <c r="F9" s="611"/>
      <c r="G9" s="611"/>
      <c r="H9" s="611"/>
      <c r="I9" s="611"/>
      <c r="J9" s="611"/>
    </row>
    <row r="10" spans="2:10" ht="18" hidden="1" customHeight="1" x14ac:dyDescent="0.25">
      <c r="B10" s="35">
        <v>3</v>
      </c>
      <c r="C10" s="431" t="s">
        <v>176</v>
      </c>
      <c r="D10" s="431"/>
      <c r="E10" s="431"/>
      <c r="F10" s="431"/>
      <c r="G10" s="431"/>
      <c r="H10" s="431"/>
      <c r="I10" s="431"/>
      <c r="J10" s="431"/>
    </row>
    <row r="11" spans="2:10" ht="24.6" customHeight="1" x14ac:dyDescent="0.25">
      <c r="B11" s="35">
        <v>3</v>
      </c>
      <c r="C11" s="433" t="str">
        <f>summary!A31</f>
        <v>Approx. 550m North-East from Bhatkya Pool Via Mega City.</v>
      </c>
      <c r="D11" s="433"/>
      <c r="E11" s="433"/>
      <c r="F11" s="433"/>
      <c r="G11" s="433"/>
      <c r="H11" s="433"/>
      <c r="I11" s="433"/>
      <c r="J11" s="433"/>
    </row>
    <row r="12" spans="2:10" ht="39" customHeight="1" x14ac:dyDescent="0.25">
      <c r="B12" s="132">
        <v>4</v>
      </c>
      <c r="C12" s="431" t="str">
        <f>summary!A32</f>
        <v>Access Road to the considered site is 13ft wide Concerete Road at South side.</v>
      </c>
      <c r="D12" s="431"/>
      <c r="E12" s="431"/>
      <c r="F12" s="431"/>
      <c r="G12" s="431"/>
      <c r="H12" s="431"/>
      <c r="I12" s="431"/>
      <c r="J12" s="431"/>
    </row>
    <row r="13" spans="2:10" ht="30" customHeight="1" x14ac:dyDescent="0.25">
      <c r="B13" s="35">
        <v>5</v>
      </c>
      <c r="C13" s="431" t="s">
        <v>483</v>
      </c>
      <c r="D13" s="431"/>
      <c r="E13" s="431"/>
      <c r="F13" s="431"/>
      <c r="G13" s="431"/>
      <c r="H13" s="431"/>
      <c r="I13" s="431"/>
      <c r="J13" s="431"/>
    </row>
    <row r="14" spans="2:10" ht="21" customHeight="1" x14ac:dyDescent="0.25">
      <c r="B14" s="35">
        <v>6</v>
      </c>
      <c r="C14" s="35" t="str">
        <f>summary!A33</f>
        <v>Public Transportation is 5min walking distance from the considered site.</v>
      </c>
      <c r="D14" s="35"/>
      <c r="E14" s="35"/>
      <c r="F14" s="35"/>
      <c r="G14" s="35"/>
      <c r="H14" s="35"/>
      <c r="I14" s="35"/>
      <c r="J14" s="35"/>
    </row>
    <row r="15" spans="2:10" ht="31.5" customHeight="1" x14ac:dyDescent="0.25">
      <c r="B15" s="35">
        <v>7</v>
      </c>
      <c r="C15" s="431" t="str">
        <f>summary!A34</f>
        <v>Physical Infrastructure like  Sewerage line, Water Supply, Telephone,Tv Cable, Electricity Line are available in the considered site</v>
      </c>
      <c r="D15" s="431"/>
      <c r="E15" s="431"/>
      <c r="F15" s="431"/>
      <c r="G15" s="431"/>
      <c r="H15" s="431"/>
      <c r="I15" s="431"/>
      <c r="J15" s="431"/>
    </row>
    <row r="16" spans="2:10" x14ac:dyDescent="0.25">
      <c r="B16" s="111"/>
      <c r="C16" s="608"/>
      <c r="D16" s="608"/>
      <c r="E16" s="608"/>
      <c r="F16" s="608"/>
      <c r="G16" s="608"/>
      <c r="H16" s="608"/>
      <c r="I16" s="608"/>
      <c r="J16" s="608"/>
    </row>
    <row r="17" spans="2:10" ht="34.5" customHeight="1" x14ac:dyDescent="0.25">
      <c r="B17" s="607" t="s">
        <v>111</v>
      </c>
      <c r="C17" s="607"/>
      <c r="D17" s="607"/>
      <c r="E17" s="607"/>
      <c r="F17" s="607"/>
      <c r="G17" s="607"/>
      <c r="H17" s="607"/>
      <c r="I17" s="607"/>
      <c r="J17" s="607"/>
    </row>
    <row r="18" spans="2:10" x14ac:dyDescent="0.25">
      <c r="B18" s="27"/>
      <c r="C18" s="27"/>
      <c r="D18" s="27"/>
      <c r="E18" s="27"/>
      <c r="F18" s="27"/>
      <c r="G18" s="27"/>
      <c r="H18" s="27"/>
      <c r="I18" s="27"/>
      <c r="J18" s="27"/>
    </row>
    <row r="19" spans="2:10" ht="18.75" x14ac:dyDescent="0.3">
      <c r="B19" s="6" t="s">
        <v>214</v>
      </c>
      <c r="C19" s="27"/>
      <c r="D19" s="27"/>
      <c r="E19" s="27"/>
      <c r="F19" s="27"/>
      <c r="G19" s="27"/>
      <c r="H19" s="27"/>
      <c r="I19" s="27"/>
      <c r="J19" s="27"/>
    </row>
    <row r="20" spans="2:10" x14ac:dyDescent="0.25">
      <c r="B20" s="27"/>
      <c r="C20" s="27"/>
      <c r="D20" s="27"/>
      <c r="E20" s="27"/>
      <c r="F20" s="27"/>
      <c r="G20" s="27"/>
      <c r="H20" s="27"/>
      <c r="I20" s="27"/>
      <c r="J20" s="27"/>
    </row>
    <row r="21" spans="2:10" ht="99.75" customHeight="1" x14ac:dyDescent="0.25">
      <c r="B21" s="431" t="s">
        <v>331</v>
      </c>
      <c r="C21" s="431"/>
      <c r="D21" s="431"/>
      <c r="E21" s="431"/>
      <c r="F21" s="431"/>
      <c r="G21" s="431"/>
      <c r="H21" s="431"/>
      <c r="I21" s="431"/>
      <c r="J21" s="431"/>
    </row>
    <row r="22" spans="2:10" ht="19.899999999999999" customHeight="1" x14ac:dyDescent="0.25">
      <c r="B22" s="188"/>
      <c r="C22" s="188"/>
      <c r="D22" s="188"/>
      <c r="E22" s="188"/>
      <c r="F22" s="188"/>
      <c r="G22" s="188"/>
      <c r="H22" s="188"/>
      <c r="I22" s="188"/>
      <c r="J22" s="188"/>
    </row>
    <row r="23" spans="2:10" ht="19.899999999999999" customHeight="1" x14ac:dyDescent="0.25">
      <c r="B23" s="188"/>
      <c r="C23" s="188"/>
      <c r="D23" s="188"/>
      <c r="E23" s="188"/>
      <c r="F23" s="188"/>
      <c r="G23" s="188"/>
      <c r="H23" s="188"/>
      <c r="I23" s="188"/>
      <c r="J23" s="188"/>
    </row>
    <row r="24" spans="2:10" ht="16.149999999999999" customHeight="1" x14ac:dyDescent="0.25">
      <c r="B24" s="188"/>
      <c r="C24" s="188"/>
      <c r="D24" s="188"/>
      <c r="E24" s="188"/>
      <c r="F24" s="188"/>
      <c r="G24" s="188"/>
      <c r="H24" s="188"/>
      <c r="I24" s="188"/>
      <c r="J24" s="188"/>
    </row>
    <row r="25" spans="2:10" ht="16.149999999999999" customHeight="1" x14ac:dyDescent="0.25">
      <c r="B25" s="188"/>
      <c r="C25" s="188"/>
      <c r="D25" s="188"/>
      <c r="E25" s="188"/>
      <c r="F25" s="188"/>
      <c r="G25" s="188"/>
      <c r="H25" s="188"/>
      <c r="I25" s="188"/>
      <c r="J25" s="188"/>
    </row>
    <row r="26" spans="2:10" ht="16.149999999999999" customHeight="1" x14ac:dyDescent="0.25">
      <c r="B26" s="188"/>
      <c r="C26" s="188"/>
      <c r="D26" s="188"/>
      <c r="E26" s="188"/>
      <c r="F26" s="188"/>
      <c r="G26" s="188"/>
      <c r="H26" s="188"/>
      <c r="I26" s="188"/>
      <c r="J26" s="188"/>
    </row>
    <row r="27" spans="2:10" x14ac:dyDescent="0.25">
      <c r="B27" s="27"/>
      <c r="C27" s="27"/>
      <c r="D27" s="27"/>
      <c r="E27" s="27"/>
      <c r="F27" s="27"/>
      <c r="G27" s="27"/>
      <c r="H27" s="27"/>
      <c r="I27" s="27"/>
      <c r="J27" s="27"/>
    </row>
    <row r="28" spans="2:10" ht="18.75" x14ac:dyDescent="0.3">
      <c r="B28" s="6" t="s">
        <v>327</v>
      </c>
      <c r="C28" s="27"/>
      <c r="D28" s="27"/>
      <c r="E28" s="27"/>
      <c r="F28" s="27"/>
      <c r="G28" s="27"/>
      <c r="H28" s="27"/>
      <c r="I28" s="27"/>
      <c r="J28" s="27"/>
    </row>
    <row r="29" spans="2:10" x14ac:dyDescent="0.25">
      <c r="B29" s="27"/>
      <c r="C29" s="27"/>
      <c r="D29" s="27"/>
      <c r="E29" s="27"/>
      <c r="F29" s="27"/>
      <c r="G29" s="27"/>
      <c r="H29" s="27"/>
      <c r="I29" s="27"/>
      <c r="J29" s="27"/>
    </row>
    <row r="30" spans="2:10" ht="25.9" customHeight="1" x14ac:dyDescent="0.25">
      <c r="B30" s="604" t="s">
        <v>254</v>
      </c>
      <c r="C30" s="604"/>
      <c r="D30" s="604"/>
      <c r="E30" s="604"/>
      <c r="F30" s="604"/>
      <c r="G30" s="604"/>
      <c r="H30" s="604"/>
      <c r="I30" s="604"/>
      <c r="J30" s="604"/>
    </row>
    <row r="31" spans="2:10" ht="23.45" customHeight="1" x14ac:dyDescent="0.25">
      <c r="B31" s="604"/>
      <c r="C31" s="604"/>
      <c r="D31" s="604"/>
      <c r="E31" s="604"/>
      <c r="F31" s="604"/>
      <c r="G31" s="604"/>
      <c r="H31" s="604"/>
      <c r="I31" s="604"/>
      <c r="J31" s="604"/>
    </row>
    <row r="32" spans="2:10" ht="15" customHeight="1" x14ac:dyDescent="0.25">
      <c r="B32" s="604"/>
      <c r="C32" s="604"/>
      <c r="D32" s="604"/>
      <c r="E32" s="604"/>
      <c r="F32" s="604"/>
      <c r="G32" s="604"/>
      <c r="H32" s="604"/>
      <c r="I32" s="604"/>
      <c r="J32" s="604"/>
    </row>
    <row r="33" spans="2:10" x14ac:dyDescent="0.25">
      <c r="B33" s="189"/>
      <c r="C33" s="189"/>
      <c r="D33" s="189"/>
      <c r="E33" s="189"/>
      <c r="G33" s="189"/>
      <c r="H33" s="189"/>
      <c r="I33" s="189"/>
      <c r="J33" s="189"/>
    </row>
    <row r="34" spans="2:10" x14ac:dyDescent="0.25">
      <c r="B34" s="605" t="s">
        <v>255</v>
      </c>
      <c r="C34" s="605"/>
      <c r="D34" s="605"/>
      <c r="E34" s="605"/>
      <c r="G34" s="605" t="s">
        <v>255</v>
      </c>
      <c r="H34" s="605"/>
      <c r="I34" s="605"/>
      <c r="J34" s="605"/>
    </row>
    <row r="35" spans="2:10" ht="15.75" x14ac:dyDescent="0.25">
      <c r="B35" s="606" t="str">
        <f>'In Put'!B29</f>
        <v>Mrs. Lila Khatri</v>
      </c>
      <c r="C35" s="606"/>
      <c r="D35" s="606"/>
      <c r="E35" s="606"/>
      <c r="G35" s="606" t="str">
        <f>'In Put'!B3</f>
        <v>M/S. Mokshya Trade &amp; Suppliers</v>
      </c>
      <c r="H35" s="606"/>
      <c r="I35" s="606"/>
      <c r="J35" s="606"/>
    </row>
    <row r="36" spans="2:10" ht="15.75" x14ac:dyDescent="0.25">
      <c r="B36" s="606" t="s">
        <v>256</v>
      </c>
      <c r="C36" s="606"/>
      <c r="D36" s="606"/>
      <c r="E36" s="606"/>
      <c r="G36" s="606" t="s">
        <v>266</v>
      </c>
      <c r="H36" s="606"/>
      <c r="I36" s="606"/>
      <c r="J36" s="606"/>
    </row>
    <row r="40" spans="2:10" ht="18.75" x14ac:dyDescent="0.3">
      <c r="B40" s="397" t="s">
        <v>406</v>
      </c>
      <c r="C40" s="398"/>
      <c r="D40" s="398"/>
      <c r="E40" s="398"/>
      <c r="F40" s="398"/>
      <c r="G40" s="398"/>
      <c r="H40" s="398"/>
      <c r="I40" s="398"/>
      <c r="J40" s="398"/>
    </row>
    <row r="41" spans="2:10" x14ac:dyDescent="0.25">
      <c r="B41" s="601" t="s">
        <v>409</v>
      </c>
      <c r="C41" s="601"/>
      <c r="D41" s="601"/>
      <c r="E41" s="601"/>
      <c r="F41" s="601"/>
      <c r="G41" s="601"/>
      <c r="H41" s="601"/>
      <c r="I41" s="601"/>
      <c r="J41" s="601"/>
    </row>
    <row r="42" spans="2:10" x14ac:dyDescent="0.25">
      <c r="B42" s="601"/>
      <c r="C42" s="601"/>
      <c r="D42" s="601"/>
      <c r="E42" s="601"/>
      <c r="F42" s="601"/>
      <c r="G42" s="601"/>
      <c r="H42" s="601"/>
      <c r="I42" s="601"/>
      <c r="J42" s="601"/>
    </row>
    <row r="43" spans="2:10" x14ac:dyDescent="0.25">
      <c r="B43" s="601"/>
      <c r="C43" s="601"/>
      <c r="D43" s="601"/>
      <c r="E43" s="601"/>
      <c r="F43" s="601"/>
      <c r="G43" s="601"/>
      <c r="H43" s="601"/>
      <c r="I43" s="601"/>
      <c r="J43" s="601"/>
    </row>
    <row r="44" spans="2:10" x14ac:dyDescent="0.25">
      <c r="B44" s="399"/>
      <c r="C44" s="399"/>
      <c r="D44" s="399"/>
      <c r="E44" s="399"/>
      <c r="F44" s="399"/>
      <c r="G44" s="399"/>
      <c r="H44" s="399"/>
      <c r="I44" s="399"/>
      <c r="J44" s="399"/>
    </row>
    <row r="45" spans="2:10" x14ac:dyDescent="0.25">
      <c r="F45" s="27"/>
    </row>
    <row r="46" spans="2:10" x14ac:dyDescent="0.25">
      <c r="B46" s="602" t="s">
        <v>407</v>
      </c>
      <c r="C46" s="602"/>
      <c r="D46" s="602"/>
      <c r="E46" s="602"/>
      <c r="F46" s="27"/>
      <c r="G46" s="602" t="s">
        <v>407</v>
      </c>
      <c r="H46" s="602"/>
      <c r="I46" s="602"/>
      <c r="J46" s="602"/>
    </row>
    <row r="47" spans="2:10" ht="15.75" x14ac:dyDescent="0.25">
      <c r="B47" s="603" t="s">
        <v>486</v>
      </c>
      <c r="C47" s="603"/>
      <c r="D47" s="603"/>
      <c r="E47" s="603"/>
      <c r="F47" s="27"/>
      <c r="G47" s="603" t="s">
        <v>316</v>
      </c>
      <c r="H47" s="603"/>
      <c r="I47" s="603"/>
      <c r="J47" s="603"/>
    </row>
    <row r="48" spans="2:10" ht="15.75" x14ac:dyDescent="0.25">
      <c r="B48" s="600" t="s">
        <v>487</v>
      </c>
      <c r="C48" s="600"/>
      <c r="D48" s="600"/>
      <c r="E48" s="600"/>
      <c r="F48" s="27"/>
      <c r="G48" s="600" t="s">
        <v>408</v>
      </c>
      <c r="H48" s="600"/>
      <c r="I48" s="600"/>
      <c r="J48" s="600"/>
    </row>
  </sheetData>
  <mergeCells count="27">
    <mergeCell ref="B2:J2"/>
    <mergeCell ref="B3:J3"/>
    <mergeCell ref="B7:J7"/>
    <mergeCell ref="C8:J8"/>
    <mergeCell ref="C9:J9"/>
    <mergeCell ref="C12:J12"/>
    <mergeCell ref="B17:J17"/>
    <mergeCell ref="C11:J11"/>
    <mergeCell ref="C10:J10"/>
    <mergeCell ref="C13:J13"/>
    <mergeCell ref="C15:J15"/>
    <mergeCell ref="C16:J16"/>
    <mergeCell ref="B30:J32"/>
    <mergeCell ref="B34:E34"/>
    <mergeCell ref="B35:E35"/>
    <mergeCell ref="B36:E36"/>
    <mergeCell ref="B21:J21"/>
    <mergeCell ref="G34:J34"/>
    <mergeCell ref="G35:J35"/>
    <mergeCell ref="G36:J36"/>
    <mergeCell ref="B48:E48"/>
    <mergeCell ref="G48:J48"/>
    <mergeCell ref="B41:J43"/>
    <mergeCell ref="B46:E46"/>
    <mergeCell ref="G46:J46"/>
    <mergeCell ref="B47:E47"/>
    <mergeCell ref="G47:J47"/>
  </mergeCells>
  <pageMargins left="0.7" right="0.7" top="0.75" bottom="0.75" header="0.3" footer="0.3"/>
  <pageSetup orientation="portrait" horizontalDpi="4294967293" r:id="rId1"/>
  <headerFooter>
    <oddFooter>&amp;R&amp;G</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Q35"/>
  <sheetViews>
    <sheetView showWhiteSpace="0" view="pageLayout" topLeftCell="A20" workbookViewId="0">
      <selection activeCell="D37" sqref="D37"/>
    </sheetView>
  </sheetViews>
  <sheetFormatPr defaultRowHeight="15" x14ac:dyDescent="0.25"/>
  <cols>
    <col min="1" max="2" width="3.28515625" customWidth="1"/>
    <col min="3" max="3" width="13.5703125" customWidth="1"/>
    <col min="4" max="4" width="14.28515625" customWidth="1"/>
    <col min="7" max="7" width="12.5703125" customWidth="1"/>
    <col min="8" max="8" width="9.5703125" customWidth="1"/>
    <col min="9" max="9" width="13.85546875" customWidth="1"/>
    <col min="10" max="10" width="4" bestFit="1" customWidth="1"/>
    <col min="11" max="11" width="10.5703125" bestFit="1" customWidth="1"/>
  </cols>
  <sheetData>
    <row r="1" spans="2:13" ht="15.75" x14ac:dyDescent="0.25">
      <c r="B1" s="32"/>
      <c r="C1" s="33" t="s">
        <v>215</v>
      </c>
      <c r="D1" s="33"/>
      <c r="E1" s="33"/>
      <c r="F1" s="34"/>
      <c r="G1" s="27"/>
      <c r="H1" s="27"/>
      <c r="I1" s="27"/>
      <c r="J1" s="27"/>
    </row>
    <row r="2" spans="2:13" ht="15.6" customHeight="1" x14ac:dyDescent="0.25">
      <c r="B2" s="32"/>
      <c r="C2" s="612" t="s">
        <v>219</v>
      </c>
      <c r="D2" s="612"/>
      <c r="E2" s="612"/>
      <c r="F2" s="612"/>
      <c r="G2" s="612"/>
      <c r="H2" s="612"/>
      <c r="I2" s="612"/>
      <c r="J2" s="27"/>
    </row>
    <row r="3" spans="2:13" ht="15.75" x14ac:dyDescent="0.25">
      <c r="B3" s="32"/>
      <c r="C3" s="612"/>
      <c r="D3" s="612"/>
      <c r="E3" s="612"/>
      <c r="F3" s="612"/>
      <c r="G3" s="612"/>
      <c r="H3" s="612"/>
      <c r="I3" s="612"/>
      <c r="J3" s="27"/>
    </row>
    <row r="4" spans="2:13" ht="15.75" x14ac:dyDescent="0.25">
      <c r="B4" s="32"/>
      <c r="C4" s="612"/>
      <c r="D4" s="612"/>
      <c r="E4" s="612"/>
      <c r="F4" s="612"/>
      <c r="G4" s="612"/>
      <c r="H4" s="612"/>
      <c r="I4" s="612"/>
      <c r="J4" s="27"/>
    </row>
    <row r="5" spans="2:13" ht="15.75" x14ac:dyDescent="0.25">
      <c r="B5" s="32"/>
      <c r="C5" s="612" t="s">
        <v>220</v>
      </c>
      <c r="D5" s="612"/>
      <c r="E5" s="612"/>
      <c r="F5" s="612"/>
      <c r="G5" s="612"/>
      <c r="H5" s="612"/>
      <c r="I5" s="612"/>
      <c r="J5" s="27"/>
    </row>
    <row r="6" spans="2:13" ht="15.75" x14ac:dyDescent="0.25">
      <c r="B6" s="32"/>
      <c r="C6" s="612"/>
      <c r="D6" s="612"/>
      <c r="E6" s="612"/>
      <c r="F6" s="612"/>
      <c r="G6" s="612"/>
      <c r="H6" s="612"/>
      <c r="I6" s="612"/>
      <c r="J6" s="27"/>
    </row>
    <row r="7" spans="2:13" ht="15.75" x14ac:dyDescent="0.25">
      <c r="B7" s="32"/>
      <c r="C7" s="612"/>
      <c r="D7" s="612"/>
      <c r="E7" s="612"/>
      <c r="F7" s="612"/>
      <c r="G7" s="612"/>
      <c r="H7" s="612"/>
      <c r="I7" s="612"/>
      <c r="J7" s="27"/>
    </row>
    <row r="8" spans="2:13" ht="15.75" x14ac:dyDescent="0.25">
      <c r="B8" s="32"/>
      <c r="C8" s="134" t="s">
        <v>221</v>
      </c>
      <c r="D8" s="134"/>
      <c r="E8" s="134"/>
      <c r="F8" s="134"/>
      <c r="G8" s="135"/>
      <c r="H8" s="135"/>
      <c r="I8" s="135"/>
      <c r="J8" s="27"/>
    </row>
    <row r="9" spans="2:13" ht="15.75" x14ac:dyDescent="0.25">
      <c r="B9" s="32"/>
      <c r="C9" s="134" t="s">
        <v>222</v>
      </c>
      <c r="D9" s="134"/>
      <c r="E9" s="134"/>
      <c r="F9" s="134"/>
      <c r="G9" s="135"/>
      <c r="H9" s="135"/>
      <c r="I9" s="135"/>
      <c r="J9" s="27"/>
    </row>
    <row r="10" spans="2:13" ht="15.75" x14ac:dyDescent="0.25">
      <c r="B10" s="32"/>
      <c r="C10" s="33"/>
      <c r="D10" s="33"/>
      <c r="E10" s="33"/>
      <c r="F10" s="34"/>
      <c r="G10" s="27"/>
      <c r="H10" s="27"/>
      <c r="I10" s="27"/>
      <c r="J10" s="27"/>
    </row>
    <row r="11" spans="2:13" x14ac:dyDescent="0.25">
      <c r="B11" s="47" t="s">
        <v>53</v>
      </c>
      <c r="C11" s="48" t="s">
        <v>112</v>
      </c>
      <c r="D11" s="35"/>
      <c r="E11" s="35"/>
      <c r="F11" s="27"/>
      <c r="G11" s="27"/>
      <c r="H11" s="27"/>
      <c r="I11" s="27"/>
      <c r="J11" s="27">
        <f>6/12</f>
        <v>0.5</v>
      </c>
      <c r="K11">
        <f>4/12</f>
        <v>0.33333333333333331</v>
      </c>
    </row>
    <row r="12" spans="2:13" ht="45.75" thickBot="1" x14ac:dyDescent="0.3">
      <c r="B12" s="28"/>
      <c r="C12" s="73" t="s">
        <v>138</v>
      </c>
      <c r="D12" s="74" t="s">
        <v>113</v>
      </c>
      <c r="E12" s="74" t="s">
        <v>114</v>
      </c>
      <c r="F12" s="74" t="s">
        <v>115</v>
      </c>
      <c r="G12" s="74" t="s">
        <v>116</v>
      </c>
      <c r="H12" s="73" t="s">
        <v>117</v>
      </c>
      <c r="I12" s="74" t="s">
        <v>118</v>
      </c>
      <c r="J12" s="27"/>
    </row>
    <row r="13" spans="2:13" ht="15" customHeight="1" x14ac:dyDescent="0.25">
      <c r="B13" s="28"/>
      <c r="C13" s="90" t="s">
        <v>34</v>
      </c>
      <c r="D13" s="615">
        <f>'In Put'!B43</f>
        <v>791</v>
      </c>
      <c r="E13" s="615"/>
      <c r="F13" s="87"/>
      <c r="G13" s="616"/>
      <c r="H13" s="617"/>
      <c r="I13" s="139"/>
      <c r="J13" s="137">
        <v>1</v>
      </c>
      <c r="K13" s="94">
        <f t="shared" ref="K13:K23" si="0">J13/12</f>
        <v>8.3333333333333329E-2</v>
      </c>
      <c r="M13">
        <f>4/12</f>
        <v>0.33333333333333331</v>
      </c>
    </row>
    <row r="14" spans="2:13" x14ac:dyDescent="0.25">
      <c r="B14" s="28"/>
      <c r="C14" s="50" t="s">
        <v>132</v>
      </c>
      <c r="D14" s="51">
        <v>29.25</v>
      </c>
      <c r="E14" s="51">
        <v>34.67</v>
      </c>
      <c r="F14" s="51">
        <v>45.33</v>
      </c>
      <c r="G14" s="51">
        <f>(D14+E14+F14)/2</f>
        <v>54.625</v>
      </c>
      <c r="H14" s="51">
        <f>(G14*(G14-D14)*(G14-E14)*(G14-F14))^0.5</f>
        <v>507.04827966740197</v>
      </c>
      <c r="I14" s="618">
        <f>H17/342.25</f>
        <v>2.9501682099069835</v>
      </c>
      <c r="J14" s="138">
        <v>2</v>
      </c>
      <c r="K14" s="95">
        <f t="shared" si="0"/>
        <v>0.16666666666666666</v>
      </c>
    </row>
    <row r="15" spans="2:13" ht="15.75" thickBot="1" x14ac:dyDescent="0.3">
      <c r="B15" s="28"/>
      <c r="C15" s="50" t="s">
        <v>133</v>
      </c>
      <c r="D15" s="51">
        <v>29.5</v>
      </c>
      <c r="E15" s="51">
        <v>34.08</v>
      </c>
      <c r="F15" s="51">
        <v>45.33</v>
      </c>
      <c r="G15" s="51">
        <f t="shared" ref="G15" si="1">(D15+E15+F15)/2</f>
        <v>54.454999999999998</v>
      </c>
      <c r="H15" s="51">
        <f t="shared" ref="H15" si="2">(G15*(G15-D15)*(G15-E15)*(G15-F15))^0.5</f>
        <v>502.64679017326307</v>
      </c>
      <c r="I15" s="619"/>
      <c r="J15" s="138"/>
      <c r="K15" s="95"/>
    </row>
    <row r="16" spans="2:13" x14ac:dyDescent="0.25">
      <c r="B16" s="28"/>
      <c r="C16" s="621"/>
      <c r="D16" s="622"/>
      <c r="E16" s="622"/>
      <c r="F16" s="623"/>
      <c r="G16" s="51" t="s">
        <v>119</v>
      </c>
      <c r="H16" s="51">
        <f>SUM(H14:H15)</f>
        <v>1009.695069840665</v>
      </c>
      <c r="I16" s="620"/>
      <c r="J16" s="137">
        <v>4</v>
      </c>
      <c r="K16" s="94">
        <f t="shared" si="0"/>
        <v>0.33333333333333331</v>
      </c>
      <c r="L16">
        <f>7/12</f>
        <v>0.58333333333333337</v>
      </c>
    </row>
    <row r="17" spans="2:17" x14ac:dyDescent="0.25">
      <c r="B17" s="28"/>
      <c r="C17" s="52"/>
      <c r="D17" s="53"/>
      <c r="E17" s="53"/>
      <c r="F17" s="53"/>
      <c r="G17" s="49" t="s">
        <v>120</v>
      </c>
      <c r="H17" s="80">
        <f>H16</f>
        <v>1009.695069840665</v>
      </c>
      <c r="I17" s="140"/>
      <c r="J17" s="138">
        <v>5</v>
      </c>
      <c r="K17" s="95">
        <f t="shared" si="0"/>
        <v>0.41666666666666669</v>
      </c>
    </row>
    <row r="18" spans="2:17" x14ac:dyDescent="0.25">
      <c r="B18" s="28"/>
      <c r="C18" s="54"/>
      <c r="D18" s="55"/>
      <c r="E18" s="55"/>
      <c r="F18" s="55"/>
      <c r="G18" s="54" t="s">
        <v>205</v>
      </c>
      <c r="H18" s="70">
        <f>H17/10.7639</f>
        <v>93.803832239305933</v>
      </c>
      <c r="I18" s="141"/>
      <c r="J18" s="138">
        <v>6</v>
      </c>
      <c r="K18" s="95">
        <f t="shared" si="0"/>
        <v>0.5</v>
      </c>
    </row>
    <row r="19" spans="2:17" x14ac:dyDescent="0.25">
      <c r="B19" s="28"/>
      <c r="C19" s="63"/>
      <c r="D19" s="63"/>
      <c r="E19" s="63"/>
      <c r="F19" s="63"/>
      <c r="G19" s="63"/>
      <c r="H19" s="258"/>
      <c r="I19" s="63"/>
      <c r="J19" s="138"/>
      <c r="K19" s="95"/>
    </row>
    <row r="20" spans="2:17" x14ac:dyDescent="0.25">
      <c r="B20" s="28"/>
      <c r="C20" s="63"/>
      <c r="D20" s="63"/>
      <c r="E20" s="63"/>
      <c r="F20" s="63"/>
      <c r="G20" s="63"/>
      <c r="H20" s="258"/>
      <c r="I20" s="63"/>
      <c r="J20" s="138">
        <v>8</v>
      </c>
      <c r="K20" s="95">
        <f t="shared" si="0"/>
        <v>0.66666666666666663</v>
      </c>
    </row>
    <row r="21" spans="2:17" ht="15.75" thickBot="1" x14ac:dyDescent="0.3">
      <c r="B21" s="56" t="s">
        <v>73</v>
      </c>
      <c r="C21" s="48" t="s">
        <v>121</v>
      </c>
      <c r="D21" s="48"/>
      <c r="E21" s="27"/>
      <c r="F21" s="27"/>
      <c r="G21" s="27"/>
      <c r="H21" s="27"/>
      <c r="I21" s="27"/>
      <c r="J21" s="93">
        <v>9</v>
      </c>
      <c r="K21" s="95">
        <f t="shared" si="0"/>
        <v>0.75</v>
      </c>
      <c r="N21">
        <f>10.75*9.42</f>
        <v>101.265</v>
      </c>
    </row>
    <row r="22" spans="2:17" x14ac:dyDescent="0.25">
      <c r="B22" s="28"/>
      <c r="C22" s="624" t="s">
        <v>122</v>
      </c>
      <c r="D22" s="625"/>
      <c r="E22" s="624" t="s">
        <v>123</v>
      </c>
      <c r="F22" s="625"/>
      <c r="G22" s="625"/>
      <c r="H22" s="625"/>
      <c r="I22" s="626"/>
      <c r="J22" s="92">
        <v>10</v>
      </c>
      <c r="K22" s="94">
        <f t="shared" si="0"/>
        <v>0.83333333333333337</v>
      </c>
      <c r="Q22">
        <f>141.36+7.94</f>
        <v>149.30000000000001</v>
      </c>
    </row>
    <row r="23" spans="2:17" x14ac:dyDescent="0.25">
      <c r="B23" s="28"/>
      <c r="C23" s="631" t="s">
        <v>10</v>
      </c>
      <c r="D23" s="631" t="s">
        <v>131</v>
      </c>
      <c r="E23" s="624" t="s">
        <v>124</v>
      </c>
      <c r="F23" s="625"/>
      <c r="G23" s="625"/>
      <c r="H23" s="626"/>
      <c r="I23" s="75" t="s">
        <v>125</v>
      </c>
      <c r="J23" s="93">
        <v>11</v>
      </c>
      <c r="K23" s="95">
        <f t="shared" si="0"/>
        <v>0.91666666666666663</v>
      </c>
    </row>
    <row r="24" spans="2:17" x14ac:dyDescent="0.25">
      <c r="B24" s="28"/>
      <c r="C24" s="632"/>
      <c r="D24" s="632"/>
      <c r="E24" s="76" t="s">
        <v>40</v>
      </c>
      <c r="F24" s="77" t="s">
        <v>41</v>
      </c>
      <c r="G24" s="75" t="s">
        <v>43</v>
      </c>
      <c r="H24" s="78" t="s">
        <v>126</v>
      </c>
      <c r="I24" s="79"/>
      <c r="J24" s="27"/>
      <c r="O24">
        <f>3252400*0.15%</f>
        <v>4878.6000000000004</v>
      </c>
    </row>
    <row r="25" spans="2:17" x14ac:dyDescent="0.25">
      <c r="B25" s="28"/>
      <c r="C25" s="633" t="str">
        <f>'In Put'!B42</f>
        <v>Tarkeshwor Municipality-01(Sabik Sangla VDC 09'Ka'), Kathmandu District</v>
      </c>
      <c r="D25" s="635">
        <f>D13</f>
        <v>791</v>
      </c>
      <c r="E25" s="637">
        <v>0</v>
      </c>
      <c r="F25" s="637">
        <v>2.9994999999999998</v>
      </c>
      <c r="G25" s="637">
        <v>0</v>
      </c>
      <c r="H25" s="639">
        <v>0</v>
      </c>
      <c r="I25" s="613">
        <f>(E25*16*342.25)+(F25*342.25)+(G25/4)*342.25+(H25/16)*342.25</f>
        <v>1026.5788749999999</v>
      </c>
      <c r="J25" s="27"/>
    </row>
    <row r="26" spans="2:17" ht="125.25" customHeight="1" x14ac:dyDescent="0.25">
      <c r="B26" s="28"/>
      <c r="C26" s="634"/>
      <c r="D26" s="636"/>
      <c r="E26" s="638"/>
      <c r="F26" s="638"/>
      <c r="G26" s="638"/>
      <c r="H26" s="640"/>
      <c r="I26" s="614"/>
      <c r="J26" s="27"/>
      <c r="K26">
        <f>I28/31.79</f>
        <v>3.0000751992242454</v>
      </c>
    </row>
    <row r="27" spans="2:17" x14ac:dyDescent="0.25">
      <c r="B27" s="28"/>
      <c r="C27" s="36"/>
      <c r="D27" s="37"/>
      <c r="E27" s="38"/>
      <c r="F27" s="641"/>
      <c r="G27" s="641"/>
      <c r="H27" s="38"/>
      <c r="I27" s="71">
        <f>SUM(I25:I26)</f>
        <v>1026.5788749999999</v>
      </c>
      <c r="J27" s="27"/>
    </row>
    <row r="28" spans="2:17" x14ac:dyDescent="0.25">
      <c r="B28" s="27"/>
      <c r="C28" s="39"/>
      <c r="D28" s="40"/>
      <c r="E28" s="40"/>
      <c r="F28" s="40"/>
      <c r="G28" s="642" t="s">
        <v>127</v>
      </c>
      <c r="H28" s="643"/>
      <c r="I28" s="72">
        <f>I27/10.7639</f>
        <v>95.372390583338756</v>
      </c>
      <c r="J28" s="27"/>
    </row>
    <row r="29" spans="2:17" x14ac:dyDescent="0.25">
      <c r="B29" s="27"/>
      <c r="C29" s="27"/>
      <c r="D29" s="27"/>
      <c r="E29" s="27"/>
      <c r="F29" s="27"/>
      <c r="G29" s="27"/>
      <c r="H29" s="27"/>
      <c r="I29" s="27"/>
      <c r="J29" s="27"/>
    </row>
    <row r="30" spans="2:17" x14ac:dyDescent="0.25">
      <c r="B30" s="27"/>
      <c r="C30" s="41"/>
      <c r="D30" s="42"/>
      <c r="E30" s="42"/>
      <c r="F30" s="42"/>
      <c r="G30" s="42"/>
      <c r="H30" s="42"/>
      <c r="I30" s="43"/>
      <c r="J30" s="27"/>
    </row>
    <row r="31" spans="2:17" x14ac:dyDescent="0.25">
      <c r="B31" s="27"/>
      <c r="C31" s="627" t="s">
        <v>128</v>
      </c>
      <c r="D31" s="628"/>
      <c r="E31" s="28" t="s">
        <v>11</v>
      </c>
      <c r="F31" s="68">
        <f>H17</f>
        <v>1009.695069840665</v>
      </c>
      <c r="G31" s="27" t="s">
        <v>18</v>
      </c>
      <c r="H31" s="27"/>
      <c r="I31" s="69"/>
      <c r="J31" s="27"/>
    </row>
    <row r="32" spans="2:17" x14ac:dyDescent="0.25">
      <c r="B32" s="27"/>
      <c r="C32" s="627" t="s">
        <v>129</v>
      </c>
      <c r="D32" s="628"/>
      <c r="E32" s="28" t="s">
        <v>11</v>
      </c>
      <c r="F32" s="68">
        <f>I27</f>
        <v>1026.5788749999999</v>
      </c>
      <c r="G32" s="27" t="s">
        <v>18</v>
      </c>
      <c r="H32" s="27"/>
      <c r="I32" s="69"/>
      <c r="J32" s="27"/>
    </row>
    <row r="33" spans="1:12" x14ac:dyDescent="0.25">
      <c r="A33" s="263"/>
      <c r="B33" s="27"/>
      <c r="C33" s="629" t="s">
        <v>130</v>
      </c>
      <c r="D33" s="630"/>
      <c r="E33" s="44" t="s">
        <v>11</v>
      </c>
      <c r="F33" s="126">
        <f>F31</f>
        <v>1009.695069840665</v>
      </c>
      <c r="G33" s="45" t="s">
        <v>18</v>
      </c>
      <c r="H33" s="45"/>
      <c r="I33" s="46"/>
      <c r="J33" s="27"/>
    </row>
    <row r="34" spans="1:12" x14ac:dyDescent="0.25">
      <c r="B34" s="27"/>
      <c r="C34" s="27"/>
      <c r="D34" s="27"/>
      <c r="E34" s="27"/>
      <c r="F34" s="27"/>
      <c r="G34" s="27"/>
      <c r="H34" s="27"/>
      <c r="I34" s="27"/>
      <c r="J34" s="27"/>
      <c r="L34">
        <f>258000/31.79</f>
        <v>8115.7596728530989</v>
      </c>
    </row>
    <row r="35" spans="1:12" x14ac:dyDescent="0.25">
      <c r="B35" s="27"/>
      <c r="C35" s="27"/>
      <c r="D35" s="27"/>
      <c r="E35" s="27"/>
      <c r="F35" s="27"/>
      <c r="G35" s="27"/>
      <c r="H35" s="27"/>
      <c r="I35" s="27"/>
      <c r="J35" s="27"/>
      <c r="L35">
        <f>L34*72.79</f>
        <v>590746.14658697706</v>
      </c>
    </row>
  </sheetData>
  <mergeCells count="23">
    <mergeCell ref="C32:D32"/>
    <mergeCell ref="C33:D33"/>
    <mergeCell ref="C23:C24"/>
    <mergeCell ref="D23:D24"/>
    <mergeCell ref="E23:H23"/>
    <mergeCell ref="C25:C26"/>
    <mergeCell ref="D25:D26"/>
    <mergeCell ref="E25:E26"/>
    <mergeCell ref="F25:F26"/>
    <mergeCell ref="G25:G26"/>
    <mergeCell ref="H25:H26"/>
    <mergeCell ref="F27:G27"/>
    <mergeCell ref="G28:H28"/>
    <mergeCell ref="C31:D31"/>
    <mergeCell ref="C2:I4"/>
    <mergeCell ref="C5:I7"/>
    <mergeCell ref="I25:I26"/>
    <mergeCell ref="D13:E13"/>
    <mergeCell ref="G13:H13"/>
    <mergeCell ref="I14:I16"/>
    <mergeCell ref="C16:F16"/>
    <mergeCell ref="C22:D22"/>
    <mergeCell ref="E22:I22"/>
  </mergeCells>
  <pageMargins left="0.7" right="0.7" top="0.75" bottom="0.75" header="0.3" footer="0.3"/>
  <pageSetup scale="95" orientation="portrait" horizontalDpi="4294967293" r:id="rId1"/>
  <headerFooter>
    <oddFooter>&amp;R&amp;G</oddFooter>
  </headerFooter>
  <colBreaks count="1" manualBreakCount="1">
    <brk id="9" max="1048575"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topLeftCell="A3" workbookViewId="0">
      <selection activeCell="G3" sqref="G3"/>
    </sheetView>
  </sheetViews>
  <sheetFormatPr defaultRowHeight="15" x14ac:dyDescent="0.25"/>
  <sheetData>
    <row r="1" spans="1:6" ht="15.75" x14ac:dyDescent="0.25">
      <c r="A1" s="81" t="s">
        <v>143</v>
      </c>
    </row>
    <row r="2" spans="1:6" x14ac:dyDescent="0.25">
      <c r="A2" s="30"/>
    </row>
    <row r="3" spans="1:6" ht="409.5" x14ac:dyDescent="0.25">
      <c r="A3" s="29">
        <v>1</v>
      </c>
      <c r="B3" s="29" t="s">
        <v>144</v>
      </c>
    </row>
    <row r="4" spans="1:6" ht="126" x14ac:dyDescent="0.25">
      <c r="B4" s="29">
        <v>2</v>
      </c>
      <c r="C4" s="29" t="s">
        <v>145</v>
      </c>
      <c r="D4" s="29" t="s">
        <v>146</v>
      </c>
      <c r="E4" s="29" t="s">
        <v>147</v>
      </c>
    </row>
    <row r="5" spans="1:6" ht="157.5" x14ac:dyDescent="0.25">
      <c r="B5" s="29">
        <v>3</v>
      </c>
      <c r="C5" s="29" t="s">
        <v>148</v>
      </c>
      <c r="D5" s="29" t="s">
        <v>149</v>
      </c>
      <c r="E5" s="29" t="s">
        <v>150</v>
      </c>
      <c r="F5" s="29" t="s">
        <v>151</v>
      </c>
    </row>
    <row r="6" spans="1:6" ht="15.75" x14ac:dyDescent="0.25">
      <c r="A6" s="29"/>
    </row>
    <row r="7" spans="1:6" ht="393.75" x14ac:dyDescent="0.25">
      <c r="A7" s="82" t="s">
        <v>152</v>
      </c>
    </row>
    <row r="8" spans="1:6" ht="409.5" x14ac:dyDescent="0.25">
      <c r="A8" s="82" t="s">
        <v>153</v>
      </c>
    </row>
    <row r="9" spans="1:6" ht="20.25" x14ac:dyDescent="0.3">
      <c r="B9" s="83" t="s">
        <v>154</v>
      </c>
    </row>
    <row r="10" spans="1:6" ht="173.25" x14ac:dyDescent="0.25">
      <c r="B10" s="29" t="s">
        <v>155</v>
      </c>
      <c r="C10" s="29" t="s">
        <v>156</v>
      </c>
    </row>
    <row r="11" spans="1:6" ht="20.25" x14ac:dyDescent="0.3">
      <c r="B11" s="83" t="s">
        <v>157</v>
      </c>
    </row>
    <row r="12" spans="1:6" ht="173.25" x14ac:dyDescent="0.25">
      <c r="B12" s="82" t="s">
        <v>158</v>
      </c>
      <c r="C12" s="29" t="s">
        <v>159</v>
      </c>
      <c r="D12" s="29" t="s">
        <v>160</v>
      </c>
    </row>
    <row r="13" spans="1:6" ht="189" x14ac:dyDescent="0.25">
      <c r="B13" s="82" t="s">
        <v>161</v>
      </c>
      <c r="C13" s="29" t="s">
        <v>162</v>
      </c>
      <c r="D13" s="29" t="s">
        <v>163</v>
      </c>
    </row>
    <row r="14" spans="1:6" ht="173.25" x14ac:dyDescent="0.25">
      <c r="B14" s="82" t="s">
        <v>164</v>
      </c>
      <c r="C14" s="29" t="s">
        <v>165</v>
      </c>
      <c r="D14" s="29" t="s">
        <v>166</v>
      </c>
    </row>
    <row r="15" spans="1:6" ht="157.5" x14ac:dyDescent="0.25">
      <c r="B15" s="82" t="s">
        <v>167</v>
      </c>
      <c r="C15" s="29" t="s">
        <v>168</v>
      </c>
    </row>
    <row r="16" spans="1:6" ht="189" x14ac:dyDescent="0.25">
      <c r="B16" s="82" t="s">
        <v>169</v>
      </c>
      <c r="C16" s="29" t="s">
        <v>170</v>
      </c>
      <c r="D16" s="29" t="s">
        <v>171</v>
      </c>
    </row>
    <row r="17" spans="2:3" ht="189" x14ac:dyDescent="0.25">
      <c r="B17" s="82" t="s">
        <v>172</v>
      </c>
      <c r="C17" s="29" t="s">
        <v>173</v>
      </c>
    </row>
    <row r="18" spans="2:3" ht="15.75" x14ac:dyDescent="0.25">
      <c r="B18" s="84" t="s">
        <v>174</v>
      </c>
      <c r="C18" s="31" t="s">
        <v>175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24" sqref="K24"/>
    </sheetView>
  </sheetViews>
  <sheetFormatPr defaultRowHeight="15"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1"/>
  <sheetViews>
    <sheetView workbookViewId="0">
      <selection activeCell="L17" sqref="L17"/>
    </sheetView>
  </sheetViews>
  <sheetFormatPr defaultRowHeight="15" x14ac:dyDescent="0.25"/>
  <cols>
    <col min="2" max="2" width="4.28515625" bestFit="1" customWidth="1"/>
    <col min="3" max="3" width="10.42578125" customWidth="1"/>
    <col min="4" max="4" width="16.85546875" customWidth="1"/>
    <col min="5" max="5" width="6.28515625" customWidth="1"/>
    <col min="6" max="6" width="11.42578125" customWidth="1"/>
    <col min="7" max="7" width="9.7109375" customWidth="1"/>
    <col min="9" max="9" width="10.7109375" customWidth="1"/>
    <col min="10" max="10" width="9.5703125" customWidth="1"/>
    <col min="11" max="11" width="9.7109375" customWidth="1"/>
  </cols>
  <sheetData>
    <row r="2" spans="2:12" ht="15.75" thickBot="1" x14ac:dyDescent="0.3"/>
    <row r="3" spans="2:12" ht="11.25" customHeight="1" x14ac:dyDescent="0.25">
      <c r="B3" s="662" t="s">
        <v>208</v>
      </c>
      <c r="C3" s="663" t="s">
        <v>232</v>
      </c>
      <c r="D3" s="663" t="s">
        <v>233</v>
      </c>
      <c r="E3" s="663" t="s">
        <v>234</v>
      </c>
      <c r="F3" s="663"/>
      <c r="G3" s="667"/>
      <c r="H3" s="667"/>
      <c r="I3" s="662" t="s">
        <v>235</v>
      </c>
      <c r="J3" s="663"/>
      <c r="K3" s="664"/>
      <c r="L3" s="9"/>
    </row>
    <row r="4" spans="2:12" ht="36.6" customHeight="1" x14ac:dyDescent="0.25">
      <c r="B4" s="665"/>
      <c r="C4" s="666"/>
      <c r="D4" s="666"/>
      <c r="E4" s="145" t="s">
        <v>131</v>
      </c>
      <c r="F4" s="145" t="s">
        <v>261</v>
      </c>
      <c r="G4" s="198" t="s">
        <v>262</v>
      </c>
      <c r="H4" s="197" t="s">
        <v>260</v>
      </c>
      <c r="I4" s="190" t="s">
        <v>258</v>
      </c>
      <c r="J4" s="145" t="s">
        <v>237</v>
      </c>
      <c r="K4" s="146" t="s">
        <v>259</v>
      </c>
      <c r="L4" s="9"/>
    </row>
    <row r="5" spans="2:12" ht="25.5" customHeight="1" x14ac:dyDescent="0.25">
      <c r="B5" s="654">
        <v>1</v>
      </c>
      <c r="C5" s="655" t="str">
        <f>val!D2</f>
        <v>M/S. Mokshya Trade &amp; Suppliers          Mr. Binod Kumar Khatri</v>
      </c>
      <c r="D5" s="655" t="str">
        <f>'In Put'!B42</f>
        <v>Tarkeshwor Municipality-01(Sabik Sangla VDC 09'Ka'), Kathmandu District</v>
      </c>
      <c r="E5" s="655">
        <f>'In Put'!B43</f>
        <v>791</v>
      </c>
      <c r="F5" s="396">
        <f>Area!H18</f>
        <v>93.803832239305933</v>
      </c>
      <c r="G5" s="396">
        <f>Area!I28</f>
        <v>95.372390583338756</v>
      </c>
      <c r="H5" s="656">
        <v>4072000</v>
      </c>
      <c r="I5" s="657" t="s">
        <v>236</v>
      </c>
      <c r="J5" s="658">
        <f>val!E21</f>
        <v>716.25</v>
      </c>
      <c r="K5" s="653">
        <v>2843000</v>
      </c>
      <c r="L5" s="9"/>
    </row>
    <row r="6" spans="2:12" x14ac:dyDescent="0.25">
      <c r="B6" s="654"/>
      <c r="C6" s="655"/>
      <c r="D6" s="655"/>
      <c r="E6" s="655"/>
      <c r="F6" s="660" t="s">
        <v>195</v>
      </c>
      <c r="G6" s="661"/>
      <c r="H6" s="656"/>
      <c r="I6" s="657"/>
      <c r="J6" s="659"/>
      <c r="K6" s="653"/>
    </row>
    <row r="7" spans="2:12" ht="25.5" customHeight="1" x14ac:dyDescent="0.25">
      <c r="B7" s="654"/>
      <c r="C7" s="655"/>
      <c r="D7" s="655"/>
      <c r="E7" s="655"/>
      <c r="F7" s="644">
        <f>G5</f>
        <v>95.372390583338756</v>
      </c>
      <c r="G7" s="645"/>
      <c r="H7" s="656"/>
      <c r="I7" s="657"/>
      <c r="J7" s="659"/>
      <c r="K7" s="653"/>
    </row>
    <row r="8" spans="2:12" x14ac:dyDescent="0.25">
      <c r="B8" s="192"/>
      <c r="C8" s="193"/>
      <c r="D8" s="193"/>
      <c r="E8" s="193"/>
      <c r="F8" s="193"/>
      <c r="G8" s="193"/>
      <c r="H8" s="194"/>
      <c r="I8" s="147" t="s">
        <v>228</v>
      </c>
      <c r="J8" s="144" t="s">
        <v>229</v>
      </c>
      <c r="K8" s="148" t="s">
        <v>230</v>
      </c>
    </row>
    <row r="9" spans="2:12" ht="15.75" thickBot="1" x14ac:dyDescent="0.3">
      <c r="B9" s="195"/>
      <c r="C9" s="196"/>
      <c r="D9" s="196"/>
      <c r="E9" s="646" t="s">
        <v>236</v>
      </c>
      <c r="F9" s="646"/>
      <c r="G9" s="646"/>
      <c r="H9" s="647"/>
      <c r="I9" s="149" t="str">
        <f>'Description '!E42</f>
        <v>29'-09"</v>
      </c>
      <c r="J9" s="150" t="str">
        <f>'Description '!E41</f>
        <v>29'-02"</v>
      </c>
      <c r="K9" s="151" t="str">
        <f>'Description '!E40</f>
        <v>41'-11"</v>
      </c>
    </row>
    <row r="10" spans="2:12" ht="14.45" customHeight="1" thickBot="1" x14ac:dyDescent="0.3">
      <c r="B10" s="648" t="s">
        <v>257</v>
      </c>
      <c r="C10" s="649"/>
      <c r="D10" s="649"/>
      <c r="E10" s="649"/>
      <c r="F10" s="649"/>
      <c r="G10" s="649"/>
      <c r="H10" s="649"/>
      <c r="I10" s="650"/>
      <c r="J10" s="651">
        <f>val!G44</f>
        <v>18640000</v>
      </c>
      <c r="K10" s="652"/>
      <c r="L10" s="9"/>
    </row>
    <row r="11" spans="2:12" ht="15.75" thickBot="1" x14ac:dyDescent="0.3">
      <c r="B11" s="648" t="s">
        <v>267</v>
      </c>
      <c r="C11" s="649"/>
      <c r="D11" s="649"/>
      <c r="E11" s="649"/>
      <c r="F11" s="649"/>
      <c r="G11" s="649"/>
      <c r="H11" s="649"/>
      <c r="I11" s="650"/>
      <c r="J11" s="651">
        <f>val!H44</f>
        <v>14912000</v>
      </c>
      <c r="K11" s="652"/>
    </row>
  </sheetData>
  <mergeCells count="20">
    <mergeCell ref="I3:K3"/>
    <mergeCell ref="B3:B4"/>
    <mergeCell ref="C3:C4"/>
    <mergeCell ref="D3:D4"/>
    <mergeCell ref="E3:H3"/>
    <mergeCell ref="F7:G7"/>
    <mergeCell ref="E9:H9"/>
    <mergeCell ref="B11:I11"/>
    <mergeCell ref="J11:K11"/>
    <mergeCell ref="K5:K7"/>
    <mergeCell ref="B10:I10"/>
    <mergeCell ref="J10:K10"/>
    <mergeCell ref="B5:B7"/>
    <mergeCell ref="C5:C7"/>
    <mergeCell ref="D5:D7"/>
    <mergeCell ref="E5:E7"/>
    <mergeCell ref="H5:H7"/>
    <mergeCell ref="I5:I7"/>
    <mergeCell ref="J5:J7"/>
    <mergeCell ref="F6:G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K27"/>
  <sheetViews>
    <sheetView view="pageLayout" topLeftCell="A7" workbookViewId="0">
      <selection activeCell="H12" sqref="H12"/>
    </sheetView>
  </sheetViews>
  <sheetFormatPr defaultColWidth="8.85546875" defaultRowHeight="15" x14ac:dyDescent="0.25"/>
  <cols>
    <col min="1" max="1" width="14" customWidth="1"/>
    <col min="3" max="4" width="9.28515625" bestFit="1" customWidth="1"/>
    <col min="5" max="5" width="14.7109375" customWidth="1"/>
    <col min="6" max="6" width="9.28515625" bestFit="1" customWidth="1"/>
    <col min="7" max="7" width="13.42578125" bestFit="1" customWidth="1"/>
    <col min="8" max="8" width="13.5703125" customWidth="1"/>
    <col min="9" max="9" width="24" customWidth="1"/>
    <col min="10" max="10" width="12.5703125" bestFit="1" customWidth="1"/>
    <col min="11" max="11" width="15.140625" bestFit="1" customWidth="1"/>
  </cols>
  <sheetData>
    <row r="4" spans="1:11" ht="21.75" thickBot="1" x14ac:dyDescent="0.4">
      <c r="A4" s="670" t="s">
        <v>248</v>
      </c>
      <c r="B4" s="670"/>
      <c r="C4" s="670"/>
      <c r="D4" s="670"/>
      <c r="E4" s="670"/>
      <c r="F4" s="670"/>
      <c r="G4" s="670"/>
      <c r="H4" s="670"/>
      <c r="I4" s="670"/>
    </row>
    <row r="5" spans="1:11" x14ac:dyDescent="0.25">
      <c r="A5" s="671" t="s">
        <v>1</v>
      </c>
      <c r="B5" s="673" t="s">
        <v>15</v>
      </c>
      <c r="C5" s="675" t="s">
        <v>239</v>
      </c>
      <c r="D5" s="675"/>
      <c r="E5" s="675"/>
      <c r="F5" s="675" t="s">
        <v>240</v>
      </c>
      <c r="G5" s="675"/>
      <c r="H5" s="675"/>
      <c r="I5" s="676" t="s">
        <v>241</v>
      </c>
    </row>
    <row r="6" spans="1:11" x14ac:dyDescent="0.25">
      <c r="A6" s="672"/>
      <c r="B6" s="674"/>
      <c r="C6" s="152" t="s">
        <v>16</v>
      </c>
      <c r="D6" s="152" t="s">
        <v>17</v>
      </c>
      <c r="E6" s="152" t="s">
        <v>4</v>
      </c>
      <c r="F6" s="152" t="s">
        <v>16</v>
      </c>
      <c r="G6" s="152" t="s">
        <v>17</v>
      </c>
      <c r="H6" s="152" t="s">
        <v>4</v>
      </c>
      <c r="I6" s="677"/>
    </row>
    <row r="7" spans="1:11" x14ac:dyDescent="0.25">
      <c r="A7" s="153" t="s">
        <v>242</v>
      </c>
      <c r="B7" s="154" t="s">
        <v>18</v>
      </c>
      <c r="C7" s="155" t="e">
        <f>val!#REF!</f>
        <v>#REF!</v>
      </c>
      <c r="D7" s="155">
        <v>3500</v>
      </c>
      <c r="E7" s="156" t="e">
        <f>D7*C7</f>
        <v>#REF!</v>
      </c>
      <c r="F7" s="155" t="e">
        <f>C7</f>
        <v>#REF!</v>
      </c>
      <c r="G7" s="155" t="e">
        <f>val!#REF!</f>
        <v>#REF!</v>
      </c>
      <c r="H7" s="156" t="e">
        <f>G7*F7</f>
        <v>#REF!</v>
      </c>
      <c r="I7" s="157" t="e">
        <f>E7-H7</f>
        <v>#REF!</v>
      </c>
    </row>
    <row r="8" spans="1:11" x14ac:dyDescent="0.25">
      <c r="A8" s="153" t="s">
        <v>206</v>
      </c>
      <c r="B8" s="154" t="s">
        <v>18</v>
      </c>
      <c r="C8" s="155" t="e">
        <f>val!#REF!</f>
        <v>#REF!</v>
      </c>
      <c r="D8" s="155">
        <v>3300</v>
      </c>
      <c r="E8" s="156" t="e">
        <f t="shared" ref="E8:E9" si="0">D8*C8</f>
        <v>#REF!</v>
      </c>
      <c r="F8" s="155" t="e">
        <f t="shared" ref="F8:F9" si="1">C8</f>
        <v>#REF!</v>
      </c>
      <c r="G8" s="155" t="e">
        <f>val!#REF!</f>
        <v>#REF!</v>
      </c>
      <c r="H8" s="156" t="e">
        <f>G8*F8</f>
        <v>#REF!</v>
      </c>
      <c r="I8" s="157" t="e">
        <f>E8-H8</f>
        <v>#REF!</v>
      </c>
    </row>
    <row r="9" spans="1:11" x14ac:dyDescent="0.25">
      <c r="A9" s="153" t="s">
        <v>238</v>
      </c>
      <c r="B9" s="154" t="s">
        <v>18</v>
      </c>
      <c r="C9" s="155" t="e">
        <f>val!#REF!</f>
        <v>#REF!</v>
      </c>
      <c r="D9" s="155">
        <v>3300</v>
      </c>
      <c r="E9" s="156" t="e">
        <f t="shared" si="0"/>
        <v>#REF!</v>
      </c>
      <c r="F9" s="155" t="e">
        <f t="shared" si="1"/>
        <v>#REF!</v>
      </c>
      <c r="G9" s="155" t="e">
        <f>val!#REF!</f>
        <v>#REF!</v>
      </c>
      <c r="H9" s="156" t="e">
        <f>G9*F9</f>
        <v>#REF!</v>
      </c>
      <c r="I9" s="157" t="e">
        <f t="shared" ref="I9" si="2">E9-H9</f>
        <v>#REF!</v>
      </c>
    </row>
    <row r="10" spans="1:11" x14ac:dyDescent="0.25">
      <c r="A10" s="153" t="s">
        <v>243</v>
      </c>
      <c r="B10" s="158" t="s">
        <v>18</v>
      </c>
      <c r="C10" s="159" t="e">
        <f>SUM(C7:C9)</f>
        <v>#REF!</v>
      </c>
      <c r="D10" s="155"/>
      <c r="E10" s="156"/>
      <c r="F10" s="155" t="e">
        <f>SUM(F7:F9)</f>
        <v>#REF!</v>
      </c>
      <c r="G10" s="155"/>
      <c r="H10" s="156"/>
      <c r="I10" s="157"/>
    </row>
    <row r="11" spans="1:11" s="2" customFormat="1" x14ac:dyDescent="0.25">
      <c r="A11" s="160" t="s">
        <v>244</v>
      </c>
      <c r="B11" s="161"/>
      <c r="C11" s="162"/>
      <c r="D11" s="162"/>
      <c r="E11" s="163" t="e">
        <f>SUM(E7:E10)</f>
        <v>#REF!</v>
      </c>
      <c r="F11" s="164"/>
      <c r="G11" s="162"/>
      <c r="H11" s="163" t="e">
        <f>SUM(H7:H10)</f>
        <v>#REF!</v>
      </c>
      <c r="I11" s="165" t="e">
        <f>SUM(I7:I10)</f>
        <v>#REF!</v>
      </c>
    </row>
    <row r="12" spans="1:11" x14ac:dyDescent="0.25">
      <c r="A12" s="166" t="s">
        <v>245</v>
      </c>
      <c r="B12" s="167"/>
      <c r="C12" s="168"/>
      <c r="D12" s="168"/>
      <c r="E12" s="169" t="e">
        <f>0.1*E11</f>
        <v>#REF!</v>
      </c>
      <c r="F12" s="170"/>
      <c r="G12" s="168"/>
      <c r="H12" s="169" t="e">
        <f>H11*0.1</f>
        <v>#REF!</v>
      </c>
      <c r="I12" s="171" t="e">
        <f>E12-H12</f>
        <v>#REF!</v>
      </c>
    </row>
    <row r="13" spans="1:11" ht="15.75" thickBot="1" x14ac:dyDescent="0.3">
      <c r="A13" s="166"/>
      <c r="B13" s="172"/>
      <c r="C13" s="173"/>
      <c r="D13" s="174"/>
      <c r="E13" s="175" t="e">
        <f>SUM(E11:E12)</f>
        <v>#REF!</v>
      </c>
      <c r="F13" s="176"/>
      <c r="G13" s="177"/>
      <c r="H13" s="178" t="e">
        <f>SUM(H11:H12)</f>
        <v>#REF!</v>
      </c>
      <c r="I13" s="179" t="e">
        <f>E13-H13</f>
        <v>#REF!</v>
      </c>
      <c r="K13" s="1"/>
    </row>
    <row r="14" spans="1:11" ht="15.75" thickBot="1" x14ac:dyDescent="0.3"/>
    <row r="15" spans="1:11" ht="25.15" customHeight="1" x14ac:dyDescent="0.25">
      <c r="A15" s="180" t="s">
        <v>246</v>
      </c>
      <c r="B15" s="181"/>
      <c r="C15" s="181"/>
      <c r="D15" s="181"/>
      <c r="E15" s="181"/>
      <c r="F15" s="181"/>
      <c r="G15" s="181"/>
      <c r="H15" s="181"/>
      <c r="I15" s="207" t="e">
        <f>E13</f>
        <v>#REF!</v>
      </c>
      <c r="J15" s="1"/>
    </row>
    <row r="16" spans="1:11" ht="24" customHeight="1" x14ac:dyDescent="0.25">
      <c r="A16" s="668" t="s">
        <v>265</v>
      </c>
      <c r="B16" s="669"/>
      <c r="C16" s="669"/>
      <c r="D16" s="669"/>
      <c r="E16" s="669"/>
      <c r="F16" s="669"/>
      <c r="G16" s="669"/>
      <c r="H16" s="201" t="s">
        <v>231</v>
      </c>
      <c r="I16" s="205">
        <v>9336000</v>
      </c>
      <c r="J16" s="1"/>
    </row>
    <row r="17" spans="1:11" ht="9.6" customHeight="1" x14ac:dyDescent="0.25">
      <c r="A17" s="668"/>
      <c r="B17" s="669"/>
      <c r="C17" s="669"/>
      <c r="D17" s="669"/>
      <c r="E17" s="669"/>
      <c r="F17" s="669"/>
      <c r="G17" s="669"/>
      <c r="H17" s="182"/>
      <c r="I17" s="208"/>
      <c r="J17" s="1"/>
      <c r="K17" s="1"/>
    </row>
    <row r="18" spans="1:11" ht="26.45" customHeight="1" x14ac:dyDescent="0.25">
      <c r="A18" s="203" t="s">
        <v>247</v>
      </c>
      <c r="B18" s="204"/>
      <c r="C18" s="204"/>
      <c r="D18" s="204"/>
      <c r="E18" s="204"/>
      <c r="F18" s="204"/>
      <c r="G18" s="204"/>
      <c r="H18" s="204"/>
      <c r="I18" s="205" t="e">
        <f>I13</f>
        <v>#REF!</v>
      </c>
      <c r="J18" s="1"/>
      <c r="K18" s="1"/>
    </row>
    <row r="19" spans="1:11" ht="30.6" customHeight="1" thickBot="1" x14ac:dyDescent="0.3">
      <c r="A19" s="183" t="s">
        <v>264</v>
      </c>
      <c r="B19" s="184"/>
      <c r="C19" s="184"/>
      <c r="D19" s="184"/>
      <c r="E19" s="184"/>
      <c r="F19" s="184"/>
      <c r="G19" s="184"/>
      <c r="H19" s="202" t="s">
        <v>231</v>
      </c>
      <c r="I19" s="206">
        <v>2084000</v>
      </c>
      <c r="K19" s="1"/>
    </row>
    <row r="20" spans="1:11" x14ac:dyDescent="0.25">
      <c r="K20" s="1"/>
    </row>
    <row r="21" spans="1:11" x14ac:dyDescent="0.25">
      <c r="K21" s="1"/>
    </row>
    <row r="22" spans="1:11" x14ac:dyDescent="0.25">
      <c r="I22" s="1"/>
    </row>
    <row r="26" spans="1:11" x14ac:dyDescent="0.25">
      <c r="G26" s="185"/>
      <c r="H26" s="1"/>
    </row>
    <row r="27" spans="1:11" x14ac:dyDescent="0.25">
      <c r="H27" s="1"/>
    </row>
  </sheetData>
  <mergeCells count="7">
    <mergeCell ref="A16:G17"/>
    <mergeCell ref="A4:I4"/>
    <mergeCell ref="A5:A6"/>
    <mergeCell ref="B5:B6"/>
    <mergeCell ref="C5:E5"/>
    <mergeCell ref="F5:H5"/>
    <mergeCell ref="I5:I6"/>
  </mergeCells>
  <pageMargins left="0.7" right="0.7" top="0.75" bottom="0.75" header="0.3" footer="0.3"/>
  <pageSetup orientation="landscape" horizontalDpi="4294967293"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9:M18"/>
  <sheetViews>
    <sheetView workbookViewId="0">
      <selection activeCell="M19" sqref="M19"/>
    </sheetView>
  </sheetViews>
  <sheetFormatPr defaultRowHeight="15" x14ac:dyDescent="0.25"/>
  <sheetData>
    <row r="9" spans="7:12" x14ac:dyDescent="0.25">
      <c r="G9">
        <f>45.75/3.28</f>
        <v>13.948170731707318</v>
      </c>
      <c r="I9">
        <f>45.67-24</f>
        <v>21.67</v>
      </c>
      <c r="L9">
        <f>22-I10</f>
        <v>15.393292682926829</v>
      </c>
    </row>
    <row r="10" spans="7:12" x14ac:dyDescent="0.25">
      <c r="I10">
        <f>I9/3.28</f>
        <v>6.6067073170731714</v>
      </c>
      <c r="L10">
        <f>L9/2</f>
        <v>7.6966463414634143</v>
      </c>
    </row>
    <row r="11" spans="7:12" x14ac:dyDescent="0.25">
      <c r="L11">
        <f>24/3.28</f>
        <v>7.3170731707317076</v>
      </c>
    </row>
    <row r="18" spans="13:13" x14ac:dyDescent="0.25">
      <c r="M18">
        <f>9*4</f>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In Put</vt:lpstr>
      <vt:lpstr>TOC</vt:lpstr>
      <vt:lpstr>Synopsis</vt:lpstr>
      <vt:lpstr>Location</vt:lpstr>
      <vt:lpstr>Importance</vt:lpstr>
      <vt:lpstr>Description </vt:lpstr>
      <vt:lpstr>Legal Aspects</vt:lpstr>
      <vt:lpstr>Summary1</vt:lpstr>
      <vt:lpstr>summary</vt:lpstr>
      <vt:lpstr>val</vt:lpstr>
      <vt:lpstr>Limiting Condition</vt:lpstr>
      <vt:lpstr>Area</vt:lpstr>
      <vt:lpstr>Sheet4</vt:lpstr>
      <vt:lpstr>Sheet3</vt:lpstr>
      <vt:lpstr>Sheet2</vt:lpstr>
      <vt:lpstr>Sheet1</vt:lpstr>
      <vt:lpstr>Sheet5</vt:lpstr>
      <vt:lpstr>Synopsis!_Toc272312950</vt:lpstr>
      <vt:lpstr>'Limiting Condition'!_Toc332296746</vt:lpstr>
      <vt:lpstr>Importance!_Toc335642854</vt:lpstr>
      <vt:lpstr>'Limiting Condition'!_Toc335642860</vt:lpstr>
      <vt:lpstr>Sheet4!_Toc335642867</vt:lpstr>
      <vt:lpstr>Sheet4!_Toc335642868</vt:lpstr>
      <vt:lpstr>Sheet4!_Toc335642869</vt:lpstr>
      <vt:lpstr>Synopsis!_Toc341107988</vt:lpstr>
      <vt:lpstr>Synopsis!_Toc341107989</vt:lpstr>
      <vt:lpstr>Synopsis!_Toc341107990</vt:lpstr>
      <vt:lpstr>Location!_Toc341107993</vt:lpstr>
      <vt:lpstr>Location!_Toc341107994</vt:lpstr>
      <vt:lpstr>Location!_Toc341107995</vt:lpstr>
      <vt:lpstr>summary!Print_Area</vt:lpstr>
      <vt:lpstr>val!Print_Area</vt:lpstr>
    </vt:vector>
  </TitlesOfParts>
  <Company>Lenovo</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 Sukhla Deep Shrestha</dc:creator>
  <cp:lastModifiedBy>Admin</cp:lastModifiedBy>
  <cp:lastPrinted>2026-03-29T07:23:40Z</cp:lastPrinted>
  <dcterms:created xsi:type="dcterms:W3CDTF">2011-04-18T04:55:26Z</dcterms:created>
  <dcterms:modified xsi:type="dcterms:W3CDTF">2026-03-29T07:24:18Z</dcterms:modified>
</cp:coreProperties>
</file>